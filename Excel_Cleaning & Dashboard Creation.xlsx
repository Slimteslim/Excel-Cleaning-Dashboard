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codeName="ThisWorkbook" hidePivotFieldList="1"/>
  <mc:AlternateContent xmlns:mc="http://schemas.openxmlformats.org/markup-compatibility/2006">
    <mc:Choice Requires="x15">
      <x15ac:absPath xmlns:x15ac="http://schemas.microsoft.com/office/spreadsheetml/2010/11/ac" url="C:\Users\SLIMteSLIM\Documents\"/>
    </mc:Choice>
  </mc:AlternateContent>
  <xr:revisionPtr revIDLastSave="0" documentId="13_ncr:1_{DFF2726D-80CD-48FC-B89F-D0409DACC032}" xr6:coauthVersionLast="43" xr6:coauthVersionMax="43" xr10:uidLastSave="{00000000-0000-0000-0000-000000000000}"/>
  <bookViews>
    <workbookView xWindow="-110" yWindow="-110" windowWidth="19420" windowHeight="11020" activeTab="3" xr2:uid="{FBEE0547-C1DD-4B7A-A3EB-2BA1446463BC}"/>
  </bookViews>
  <sheets>
    <sheet name="Raw" sheetId="10" r:id="rId1"/>
    <sheet name="Cleaned_Data" sheetId="11" r:id="rId2"/>
    <sheet name="Pivot Table" sheetId="15" r:id="rId3"/>
    <sheet name="Dashboard" sheetId="16" r:id="rId4"/>
  </sheets>
  <definedNames>
    <definedName name="Slicer_Name">#N/A</definedName>
    <definedName name="Slicer_Product">#N/A</definedName>
    <definedName name="Slicer_Rating">#N/A</definedName>
    <definedName name="Slicer_Region">#N/A</definedName>
    <definedName name="Slicer_Total_Cost">#N/A</definedName>
    <definedName name="Slicer_Years_">#N/A</definedName>
  </definedNames>
  <calcPr calcId="181029"/>
  <pivotCaches>
    <pivotCache cacheId="8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 i="11" l="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K2" i="11" l="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D37" i="15"/>
  <c r="A3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C33EFF-4771-4A58-8583-233235A7D870}"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<sst xmlns="http://schemas.openxmlformats.org/spreadsheetml/2006/main" count="371" uniqueCount="104">
  <si>
    <t>Date</t>
  </si>
  <si>
    <t>ID</t>
  </si>
  <si>
    <t>Name</t>
  </si>
  <si>
    <t>Region</t>
  </si>
  <si>
    <t>Rating</t>
  </si>
  <si>
    <t>Product</t>
  </si>
  <si>
    <t>Quantity</t>
  </si>
  <si>
    <t>Price Per Unit</t>
  </si>
  <si>
    <t xml:space="preserve">John Smith   </t>
  </si>
  <si>
    <t>North</t>
  </si>
  <si>
    <t>Good</t>
  </si>
  <si>
    <t>Magic Wand</t>
  </si>
  <si>
    <t>Jane Doe</t>
  </si>
  <si>
    <t>East</t>
  </si>
  <si>
    <t>Excelent</t>
  </si>
  <si>
    <t>Unicorn Horn</t>
  </si>
  <si>
    <t>Mike   Tyson</t>
  </si>
  <si>
    <t>West</t>
  </si>
  <si>
    <t>Poor</t>
  </si>
  <si>
    <t>Boxing Gloves</t>
  </si>
  <si>
    <t>inf</t>
  </si>
  <si>
    <t>Anna   Belle</t>
  </si>
  <si>
    <t>South</t>
  </si>
  <si>
    <t>Average</t>
  </si>
  <si>
    <t>Fairy Dust</t>
  </si>
  <si>
    <t>Chris P. Bacon</t>
  </si>
  <si>
    <t>Bacon Scented Candle</t>
  </si>
  <si>
    <t>Peter   Parker</t>
  </si>
  <si>
    <t>Web Shooter</t>
  </si>
  <si>
    <t>Mary Jane</t>
  </si>
  <si>
    <t>Potent Potion</t>
  </si>
  <si>
    <t>Bruce Wayne</t>
  </si>
  <si>
    <t>Bat Signal</t>
  </si>
  <si>
    <t>Clark Kent</t>
  </si>
  <si>
    <t>Glasses with X-ray Vision</t>
  </si>
  <si>
    <t>Diana Prince</t>
  </si>
  <si>
    <t>Lasso of Truth</t>
  </si>
  <si>
    <t>Tony Stark</t>
  </si>
  <si>
    <t>Iron Man Suit</t>
  </si>
  <si>
    <t>Steve Rogers</t>
  </si>
  <si>
    <t>Captain America Shield</t>
  </si>
  <si>
    <t>Natasha Romanoff</t>
  </si>
  <si>
    <t>Black Widow's Bite</t>
  </si>
  <si>
    <t>Bruce Banner</t>
  </si>
  <si>
    <t>Gamma Radiation Serum</t>
  </si>
  <si>
    <t>Nick Fury</t>
  </si>
  <si>
    <t>Eye Patch</t>
  </si>
  <si>
    <t>Phil Coulson</t>
  </si>
  <si>
    <t>Agent ID Card</t>
  </si>
  <si>
    <t>Peggy Carter</t>
  </si>
  <si>
    <t>Vintage Pistol</t>
  </si>
  <si>
    <t>Howard Stark</t>
  </si>
  <si>
    <t>Arc Reactor</t>
  </si>
  <si>
    <t>Hank Pym</t>
  </si>
  <si>
    <t>Ant-Man Suit</t>
  </si>
  <si>
    <t>Janet van Dyne</t>
  </si>
  <si>
    <t>Wasp's Wings</t>
  </si>
  <si>
    <t>Kurt Busiek</t>
  </si>
  <si>
    <t>Comic Book</t>
  </si>
  <si>
    <t>George Perez</t>
  </si>
  <si>
    <t>Drawing Pad</t>
  </si>
  <si>
    <t>Roger Stern</t>
  </si>
  <si>
    <t>Notepads</t>
  </si>
  <si>
    <t>Tom DeFalco</t>
  </si>
  <si>
    <t>Pen Set</t>
  </si>
  <si>
    <t>Loki Laufeyson</t>
  </si>
  <si>
    <t>Asgard</t>
  </si>
  <si>
    <t>Mischief</t>
  </si>
  <si>
    <t>Trickster's Hat</t>
  </si>
  <si>
    <t>Thor Odinson</t>
  </si>
  <si>
    <t>Worthy</t>
  </si>
  <si>
    <t>Mjolnir</t>
  </si>
  <si>
    <t>Spy</t>
  </si>
  <si>
    <t>Spy Kit</t>
  </si>
  <si>
    <t>Leader</t>
  </si>
  <si>
    <t>Leadership Manual</t>
  </si>
  <si>
    <t>Mike Tyson</t>
  </si>
  <si>
    <t>Anna Belle</t>
  </si>
  <si>
    <t>Peter Parker</t>
  </si>
  <si>
    <t>John Smith</t>
  </si>
  <si>
    <t>Unknown</t>
  </si>
  <si>
    <t>Status</t>
  </si>
  <si>
    <t>Total Cost</t>
  </si>
  <si>
    <t>Sum of Total Cost</t>
  </si>
  <si>
    <t>Row Labels</t>
  </si>
  <si>
    <t>Grand Total</t>
  </si>
  <si>
    <t>Sum of Quantity</t>
  </si>
  <si>
    <t>Count of Rating</t>
  </si>
  <si>
    <t>SALES PERFORMANCE DASHBOARD</t>
  </si>
  <si>
    <t>TOTAL SALES</t>
  </si>
  <si>
    <t>QTY SOLD</t>
  </si>
  <si>
    <t>Jan</t>
  </si>
  <si>
    <t>Feb</t>
  </si>
  <si>
    <t>Mar</t>
  </si>
  <si>
    <t>Apr</t>
  </si>
  <si>
    <t>May</t>
  </si>
  <si>
    <t>Jun</t>
  </si>
  <si>
    <t>Jul</t>
  </si>
  <si>
    <t>Aug</t>
  </si>
  <si>
    <t>Sep</t>
  </si>
  <si>
    <t>Oct</t>
  </si>
  <si>
    <t>Nov</t>
  </si>
  <si>
    <t>Dec</t>
  </si>
  <si>
    <t>Years_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</si>
</sst>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3" formatCode="_(* #,##0.00_);_(* \(#,##0.00\);_(* &quot;-&quot;??_);_(@_)"/>
    <numFmt numFmtId="164" formatCode="_(* #,##0_);_(* \(#,##0\);_(* &quot;-&quot;??_);_(@_)"/>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
      <b/>
      <sz val="20"/>
      <color theme="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3" fillId="0" borderId="0" applyFont="0" applyFill="0" applyBorder="0" applyAlignment="0" applyProtection="0"/>
  </cellStyleXfs>
  <cellXfs count="30">
    <xf numFmtId="0" fontId="0" fillId="0" borderId="0" xfId="0"/>
    <xf numFmtId="0" fontId="1" fillId="0" borderId="0" xfId="0" applyFont="1" applyAlignment="1">
      <alignment horizontal="left" vertical="top"/>
    </xf>
    <xf numFmtId="22" fontId="2" fillId="0" borderId="0" xfId="0" applyNumberFormat="1" applyFont="1"/>
    <xf numFmtId="0" fontId="2" fillId="0" borderId="0" xfId="0" applyFont="1"/>
    <xf numFmtId="8" fontId="2" fillId="0" borderId="0" xfId="0" applyNumberFormat="1" applyFont="1"/>
    <xf numFmtId="0" fontId="2" fillId="0" borderId="1" xfId="0" applyFont="1" applyBorder="1"/>
    <xf numFmtId="43" fontId="2" fillId="0" borderId="1" xfId="1" applyFont="1" applyBorder="1"/>
    <xf numFmtId="14" fontId="2" fillId="0" borderId="2" xfId="0" applyNumberFormat="1" applyFont="1" applyBorder="1"/>
    <xf numFmtId="0" fontId="2" fillId="0" borderId="3" xfId="0" applyFont="1" applyBorder="1"/>
    <xf numFmtId="43" fontId="2" fillId="0" borderId="3" xfId="1" applyFont="1" applyBorder="1"/>
    <xf numFmtId="43" fontId="2" fillId="0" borderId="4" xfId="1" applyFont="1" applyBorder="1"/>
    <xf numFmtId="14" fontId="2" fillId="0" borderId="5" xfId="0" applyNumberFormat="1" applyFont="1" applyBorder="1"/>
    <xf numFmtId="43" fontId="2" fillId="0" borderId="6" xfId="1" applyFont="1" applyBorder="1"/>
    <xf numFmtId="14" fontId="2" fillId="0" borderId="7" xfId="0" applyNumberFormat="1" applyFont="1" applyBorder="1"/>
    <xf numFmtId="0" fontId="2" fillId="0" borderId="8" xfId="0" applyFont="1" applyBorder="1"/>
    <xf numFmtId="43" fontId="2" fillId="0" borderId="8" xfId="1" applyFont="1" applyBorder="1"/>
    <xf numFmtId="43" fontId="2" fillId="0" borderId="9" xfId="1" applyFont="1" applyBorder="1"/>
    <xf numFmtId="43" fontId="0" fillId="0" borderId="0" xfId="0" applyNumberFormat="1"/>
    <xf numFmtId="0" fontId="0" fillId="2" borderId="0" xfId="0" applyFill="1"/>
    <xf numFmtId="0" fontId="0" fillId="3" borderId="0" xfId="0" applyFill="1" applyAlignment="1">
      <alignment horizontal="centerContinuous"/>
    </xf>
    <xf numFmtId="0" fontId="5" fillId="3" borderId="0" xfId="0" applyFont="1" applyFill="1" applyAlignment="1">
      <alignment horizontal="centerContinuous"/>
    </xf>
    <xf numFmtId="0" fontId="0" fillId="0" borderId="0" xfId="0" applyFill="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0" fillId="0" borderId="1" xfId="0" applyNumberFormat="1" applyBorder="1"/>
    <xf numFmtId="164" fontId="0" fillId="0" borderId="1" xfId="1" applyNumberFormat="1" applyFont="1" applyBorder="1"/>
    <xf numFmtId="0" fontId="4" fillId="0" borderId="1" xfId="0" applyFont="1" applyBorder="1"/>
    <xf numFmtId="14" fontId="0" fillId="0" borderId="1" xfId="0" applyNumberFormat="1" applyBorder="1" applyAlignment="1">
      <alignment horizontal="left"/>
    </xf>
  </cellXfs>
  <cellStyles count="2">
    <cellStyle name="Comma" xfId="1" builtinId="3"/>
    <cellStyle name="Normal" xfId="0" builtinId="0"/>
  </cellStyles>
  <dxfs count="289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numFmt numFmtId="19" formatCode="m/d/yyyy"/>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0_);_(* \(#,##0.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6" formatCode="_(* #,##0.0_);_(* \(#,##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[Excel_Cleaning &amp; Dashboard Creation.xlsx]Pivot Table!PivotTable2</c:name>
    <c:fmtId val="1"/>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Total Sales Per Region</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 Table'!$A$4:$A$10</c:f>
              <c:strCache>
                <c:ptCount val="6"/>
                <c:pt idx="0">
                  <c:v>Asgard</c:v>
                </c:pt>
                <c:pt idx="1">
                  <c:v>East</c:v>
                </c:pt>
                <c:pt idx="2">
                  <c:v>North</c:v>
                </c:pt>
                <c:pt idx="3">
                  <c:v>South</c:v>
                </c:pt>
                <c:pt idx="4">
                  <c:v>Unknown</c:v>
                </c:pt>
                <c:pt idx="5">
                  <c:v>West</c:v>
                </c:pt>
              </c:strCache>
            </c:strRef>
          </c:cat>
          <c:val>
            <c:numRef>
              <c:f>'Pivot Table'!$B$4:$B$10</c:f>
              <c:numCache>
                <c:formatCode>_(* #,##0_);_(* \(#,##0\);_(* "-"??_);_(@_)</c:formatCode>
                <c:ptCount val="6"/>
                <c:pt idx="0">
                  <c:v>4499.75</c:v>
                </c:pt>
                <c:pt idx="1">
                  <c:v>4400</c:v>
                </c:pt>
                <c:pt idx="2">
                  <c:v>2399.85</c:v>
                </c:pt>
                <c:pt idx="3">
                  <c:v>8049.9</c:v>
                </c:pt>
                <c:pt idx="4">
                  <c:v>1100.1000000000001</c:v>
                </c:pt>
                <c:pt idx="5">
                  <c:v>5950.2</c:v>
                </c:pt>
              </c:numCache>
            </c:numRef>
          </c:val>
          <c:extLst>
            <c:ext xmlns:c16="http://schemas.microsoft.com/office/drawing/2014/chart" uri="{C3380CC4-5D6E-409C-BE32-E72D297353CC}">
              <c16:uniqueId val="{00000000-8372-4B9E-B312-F3233FA68A89}"/>
            </c:ext>
          </c:extLst>
        </c:ser>
        <c:dLbls>
          <c:showLegendKey val="0"/>
          <c:showVal val="0"/>
          <c:showCatName val="0"/>
          <c:showSerName val="0"/>
          <c:showPercent val="0"/>
          <c:showBubbleSize val="0"/>
        </c:dLbls>
        <c:gapWidth val="100"/>
        <c:overlap val="-24"/>
        <c:axId val="1576121791"/>
        <c:axId val="1800293951"/>
      </c:barChart>
      <c:catAx>
        <c:axId val="15761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00293951"/>
        <c:crosses val="autoZero"/>
        <c:auto val="1"/>
        <c:lblAlgn val="ctr"/>
        <c:lblOffset val="100"/>
        <c:noMultiLvlLbl val="0"/>
      </c:catAx>
      <c:valAx>
        <c:axId val="180029395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612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[Excel_Cleaning &amp; Dashboard Creation.xlsx]Pivot Table!PivotTable4</c:name>
    <c:fmtId val="1"/>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Total Sales Per Product</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 Table'!$G$4:$G$32</c:f>
              <c:strCache>
                <c:ptCount val="28"/>
                <c:pt idx="0">
                  <c:v>Agent ID Card</c:v>
                </c:pt>
                <c:pt idx="1">
                  <c:v>Ant-Man Suit</c:v>
                </c:pt>
                <c:pt idx="2">
                  <c:v>Arc Reactor</c:v>
                </c:pt>
                <c:pt idx="3">
                  <c:v>Bacon Scented Candle</c:v>
                </c:pt>
                <c:pt idx="4">
                  <c:v>Bat Signal</c:v>
                </c:pt>
                <c:pt idx="5">
                  <c:v>Black Widow's Bite</c:v>
                </c:pt>
                <c:pt idx="6">
                  <c:v>Boxing Gloves</c:v>
                </c:pt>
                <c:pt idx="7">
                  <c:v>Captain America Shield</c:v>
                </c:pt>
                <c:pt idx="8">
                  <c:v>Comic Book</c:v>
                </c:pt>
                <c:pt idx="9">
                  <c:v>Drawing Pad</c:v>
                </c:pt>
                <c:pt idx="10">
                  <c:v>Eye Patch</c:v>
                </c:pt>
                <c:pt idx="11">
                  <c:v>Fairy Dust</c:v>
                </c:pt>
                <c:pt idx="12">
                  <c:v>Gamma Radiation Serum</c:v>
                </c:pt>
                <c:pt idx="13">
                  <c:v>Glasses with X-ray Vision</c:v>
                </c:pt>
                <c:pt idx="14">
                  <c:v>Iron Man Suit</c:v>
                </c:pt>
                <c:pt idx="15">
                  <c:v>Lasso of Truth</c:v>
                </c:pt>
                <c:pt idx="16">
                  <c:v>Leadership Manual</c:v>
                </c:pt>
                <c:pt idx="17">
                  <c:v>Magic Wand</c:v>
                </c:pt>
                <c:pt idx="18">
                  <c:v>Mjolnir</c:v>
                </c:pt>
                <c:pt idx="19">
                  <c:v>Notepads</c:v>
                </c:pt>
                <c:pt idx="20">
                  <c:v>Pen Set</c:v>
                </c:pt>
                <c:pt idx="21">
                  <c:v>Potent Potion</c:v>
                </c:pt>
                <c:pt idx="22">
                  <c:v>Spy Kit</c:v>
                </c:pt>
                <c:pt idx="23">
                  <c:v>Trickster's Hat</c:v>
                </c:pt>
                <c:pt idx="24">
                  <c:v>Unicorn Horn</c:v>
                </c:pt>
                <c:pt idx="25">
                  <c:v>Vintage Pistol</c:v>
                </c:pt>
                <c:pt idx="26">
                  <c:v>Wasp's Wings</c:v>
                </c:pt>
                <c:pt idx="27">
                  <c:v>Web Shooter</c:v>
                </c:pt>
              </c:strCache>
            </c:strRef>
          </c:cat>
          <c:val>
            <c:numRef>
              <c:f>'Pivot Table'!$H$4:$H$32</c:f>
              <c:numCache>
                <c:formatCode>_(* #,##0_);_(* \(#,##0\);_(* "-"??_);_(@_)</c:formatCode>
                <c:ptCount val="28"/>
                <c:pt idx="0">
                  <c:v>0</c:v>
                </c:pt>
                <c:pt idx="1">
                  <c:v>1600</c:v>
                </c:pt>
                <c:pt idx="2">
                  <c:v>1499.85</c:v>
                </c:pt>
                <c:pt idx="3">
                  <c:v>500.1</c:v>
                </c:pt>
                <c:pt idx="4">
                  <c:v>600</c:v>
                </c:pt>
                <c:pt idx="5">
                  <c:v>0</c:v>
                </c:pt>
                <c:pt idx="6">
                  <c:v>0</c:v>
                </c:pt>
                <c:pt idx="7">
                  <c:v>900</c:v>
                </c:pt>
                <c:pt idx="8">
                  <c:v>1800</c:v>
                </c:pt>
                <c:pt idx="9">
                  <c:v>0</c:v>
                </c:pt>
                <c:pt idx="10">
                  <c:v>1200.1499999999999</c:v>
                </c:pt>
                <c:pt idx="11">
                  <c:v>250</c:v>
                </c:pt>
                <c:pt idx="12">
                  <c:v>1100.1000000000001</c:v>
                </c:pt>
                <c:pt idx="13">
                  <c:v>549.9</c:v>
                </c:pt>
                <c:pt idx="14">
                  <c:v>800</c:v>
                </c:pt>
                <c:pt idx="15">
                  <c:v>700</c:v>
                </c:pt>
                <c:pt idx="16">
                  <c:v>2499.85</c:v>
                </c:pt>
                <c:pt idx="17">
                  <c:v>200</c:v>
                </c:pt>
                <c:pt idx="18">
                  <c:v>2300</c:v>
                </c:pt>
                <c:pt idx="19">
                  <c:v>2000.05</c:v>
                </c:pt>
                <c:pt idx="20">
                  <c:v>2100</c:v>
                </c:pt>
                <c:pt idx="21">
                  <c:v>350</c:v>
                </c:pt>
                <c:pt idx="22">
                  <c:v>0</c:v>
                </c:pt>
                <c:pt idx="23">
                  <c:v>2199.75</c:v>
                </c:pt>
                <c:pt idx="24">
                  <c:v>150</c:v>
                </c:pt>
                <c:pt idx="25">
                  <c:v>1400</c:v>
                </c:pt>
                <c:pt idx="26">
                  <c:v>1700.05</c:v>
                </c:pt>
                <c:pt idx="27">
                  <c:v>0</c:v>
                </c:pt>
              </c:numCache>
            </c:numRef>
          </c:val>
          <c:extLst>
            <c:ext xmlns:c16="http://schemas.microsoft.com/office/drawing/2014/chart" uri="{C3380CC4-5D6E-409C-BE32-E72D297353CC}">
              <c16:uniqueId val="{00000000-8431-442F-9981-5D63D98BDEAA}"/>
            </c:ext>
          </c:extLst>
        </c:ser>
        <c:dLbls>
          <c:showLegendKey val="0"/>
          <c:showVal val="0"/>
          <c:showCatName val="0"/>
          <c:showSerName val="0"/>
          <c:showPercent val="0"/>
          <c:showBubbleSize val="0"/>
        </c:dLbls>
        <c:gapWidth val="100"/>
        <c:overlap val="-24"/>
        <c:axId val="1827543775"/>
        <c:axId val="1904410591"/>
      </c:barChart>
      <c:catAx>
        <c:axId val="18275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4410591"/>
        <c:crosses val="autoZero"/>
        <c:auto val="1"/>
        <c:lblAlgn val="ctr"/>
        <c:lblOffset val="100"/>
        <c:noMultiLvlLbl val="0"/>
      </c:catAx>
      <c:valAx>
        <c:axId val="190441059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7543775"/>
        <c:crosses val="autoZero"/>
        <c:crossBetween val="between"/>
        <c:majorUnit val="500"/>
        <c:minorUnit val="2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[Excel_Cleaning &amp; Dashboard Creation.xlsx]Pivot Table!PivotTable6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Products Ratings</a:t>
            </a:r>
          </a:p>
        </c:rich>
      </c:tx>
      <c:layout>
        <c:manualLayout>
          <c:xMode val="edge"/>
          <c:yMode val="edge"/>
          <c:x val="0.26823320424840391"/>
          <c:y val="2.49554339180109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3C9-4467-BDBE-99F65A5440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3C9-4467-BDBE-99F65A5440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3C9-4467-BDBE-99F65A54407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3C9-4467-BDBE-99F65A54407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3C9-4467-BDBE-99F65A54407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3C9-4467-BDBE-99F65A54407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3C9-4467-BDBE-99F65A54407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3C9-4467-BDBE-99F65A5440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Table'!$A$13:$A$21</c:f>
              <c:strCache>
                <c:ptCount val="8"/>
                <c:pt idx="0">
                  <c:v>Average</c:v>
                </c:pt>
                <c:pt idx="1">
                  <c:v>Excelent</c:v>
                </c:pt>
                <c:pt idx="2">
                  <c:v>Good</c:v>
                </c:pt>
                <c:pt idx="3">
                  <c:v>Leader</c:v>
                </c:pt>
                <c:pt idx="4">
                  <c:v>Mischief</c:v>
                </c:pt>
                <c:pt idx="5">
                  <c:v>Poor</c:v>
                </c:pt>
                <c:pt idx="6">
                  <c:v>Spy</c:v>
                </c:pt>
                <c:pt idx="7">
                  <c:v>Worthy</c:v>
                </c:pt>
              </c:strCache>
            </c:strRef>
          </c:cat>
          <c:val>
            <c:numRef>
              <c:f>'Pivot Table'!$B$13:$B$21</c:f>
              <c:numCache>
                <c:formatCode>General</c:formatCode>
                <c:ptCount val="8"/>
                <c:pt idx="0">
                  <c:v>6</c:v>
                </c:pt>
                <c:pt idx="1">
                  <c:v>6</c:v>
                </c:pt>
                <c:pt idx="2">
                  <c:v>6</c:v>
                </c:pt>
                <c:pt idx="3">
                  <c:v>1</c:v>
                </c:pt>
                <c:pt idx="4">
                  <c:v>1</c:v>
                </c:pt>
                <c:pt idx="5">
                  <c:v>6</c:v>
                </c:pt>
                <c:pt idx="6">
                  <c:v>1</c:v>
                </c:pt>
                <c:pt idx="7">
                  <c:v>1</c:v>
                </c:pt>
              </c:numCache>
            </c:numRef>
          </c:val>
          <c:extLst>
            <c:ext xmlns:c16="http://schemas.microsoft.com/office/drawing/2014/chart" uri="{C3380CC4-5D6E-409C-BE32-E72D297353CC}">
              <c16:uniqueId val="{00000010-43C9-4467-BDBE-99F65A54407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[Excel_Cleaning &amp; Dashboard Creation.xlsx]Pivot Table!PivotTable7</c:name>
    <c:fmtId val="1"/>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US" b="1">
                <a:solidFill>
                  <a:schemeClr val="tx1"/>
                </a:solidFill>
              </a:rPr>
              <a:t>Total Sales by Rating</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7"/>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8"/>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9"/>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s>
    <c:plotArea>
      <c:layout/>
      <c:barChart>
        <c:barDir val="col"/>
        <c:grouping val="clustered"/>
        <c:varyColors val="0"/>
        <c:ser>
          <c:idx val="0"/>
          <c:order val="0"/>
          <c:tx>
            <c:strRef>
              <c:f>'Pivot Table'!$B$23</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 Table'!$A$24:$A$32</c:f>
              <c:strCache>
                <c:ptCount val="8"/>
                <c:pt idx="0">
                  <c:v>Average</c:v>
                </c:pt>
                <c:pt idx="1">
                  <c:v>Excelent</c:v>
                </c:pt>
                <c:pt idx="2">
                  <c:v>Good</c:v>
                </c:pt>
                <c:pt idx="3">
                  <c:v>Leader</c:v>
                </c:pt>
                <c:pt idx="4">
                  <c:v>Mischief</c:v>
                </c:pt>
                <c:pt idx="5">
                  <c:v>Poor</c:v>
                </c:pt>
                <c:pt idx="6">
                  <c:v>Spy</c:v>
                </c:pt>
                <c:pt idx="7">
                  <c:v>Worthy</c:v>
                </c:pt>
              </c:strCache>
            </c:strRef>
          </c:cat>
          <c:val>
            <c:numRef>
              <c:f>'Pivot Table'!$B$24:$B$32</c:f>
              <c:numCache>
                <c:formatCode>_(* #,##0_);_(* \(#,##0\);_(* "-"??_);_(@_)</c:formatCode>
                <c:ptCount val="8"/>
                <c:pt idx="0">
                  <c:v>5550.05</c:v>
                </c:pt>
                <c:pt idx="1">
                  <c:v>3449.95</c:v>
                </c:pt>
                <c:pt idx="2">
                  <c:v>4450</c:v>
                </c:pt>
                <c:pt idx="3">
                  <c:v>2499.85</c:v>
                </c:pt>
                <c:pt idx="4">
                  <c:v>2199.75</c:v>
                </c:pt>
                <c:pt idx="5">
                  <c:v>5950.2</c:v>
                </c:pt>
                <c:pt idx="6">
                  <c:v>0</c:v>
                </c:pt>
                <c:pt idx="7">
                  <c:v>2300</c:v>
                </c:pt>
              </c:numCache>
            </c:numRef>
          </c:val>
          <c:extLst>
            <c:ext xmlns:c16="http://schemas.microsoft.com/office/drawing/2014/chart" uri="{C3380CC4-5D6E-409C-BE32-E72D297353CC}">
              <c16:uniqueId val="{00000010-3ED9-46AA-A8E2-A3F65EFE4958}"/>
            </c:ext>
          </c:extLst>
        </c:ser>
        <c:dLbls>
          <c:showLegendKey val="0"/>
          <c:showVal val="0"/>
          <c:showCatName val="0"/>
          <c:showSerName val="0"/>
          <c:showPercent val="0"/>
          <c:showBubbleSize val="0"/>
        </c:dLbls>
        <c:gapWidth val="100"/>
        <c:overlap val="-24"/>
        <c:axId val="1828213263"/>
        <c:axId val="2080296735"/>
      </c:barChart>
      <c:catAx>
        <c:axId val="182821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0296735"/>
        <c:crosses val="autoZero"/>
        <c:auto val="1"/>
        <c:lblAlgn val="ctr"/>
        <c:lblOffset val="100"/>
        <c:noMultiLvlLbl val="0"/>
      </c:catAx>
      <c:valAx>
        <c:axId val="208029673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821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[Excel_Cleaning &amp; Dashboard Creation.xlsx]Pivot Table!PivotTable8</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Sales Trend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Table'!$B$41:$B$53</c:f>
              <c:numCache>
                <c:formatCode>_(* #,##0_);_(* \(#,##0\);_(* "-"??_);_(@_)</c:formatCode>
                <c:ptCount val="12"/>
                <c:pt idx="0">
                  <c:v>2399.75</c:v>
                </c:pt>
                <c:pt idx="1">
                  <c:v>3550.1000000000004</c:v>
                </c:pt>
                <c:pt idx="2">
                  <c:v>1200.1499999999999</c:v>
                </c:pt>
                <c:pt idx="3">
                  <c:v>2749.85</c:v>
                </c:pt>
                <c:pt idx="4">
                  <c:v>1900.1</c:v>
                </c:pt>
                <c:pt idx="5">
                  <c:v>1499.85</c:v>
                </c:pt>
                <c:pt idx="6">
                  <c:v>1950</c:v>
                </c:pt>
                <c:pt idx="7">
                  <c:v>2300.0500000000002</c:v>
                </c:pt>
                <c:pt idx="8">
                  <c:v>2349.9</c:v>
                </c:pt>
                <c:pt idx="9">
                  <c:v>700</c:v>
                </c:pt>
                <c:pt idx="10">
                  <c:v>2800.05</c:v>
                </c:pt>
                <c:pt idx="11">
                  <c:v>3000</c:v>
                </c:pt>
              </c:numCache>
            </c:numRef>
          </c:val>
          <c:smooth val="0"/>
          <c:extLst>
            <c:ext xmlns:c16="http://schemas.microsoft.com/office/drawing/2014/chart" uri="{C3380CC4-5D6E-409C-BE32-E72D297353CC}">
              <c16:uniqueId val="{00000000-12BF-42B4-BA4B-A001CE9BC002}"/>
            </c:ext>
          </c:extLst>
        </c:ser>
        <c:dLbls>
          <c:showLegendKey val="0"/>
          <c:showVal val="0"/>
          <c:showCatName val="0"/>
          <c:showSerName val="0"/>
          <c:showPercent val="0"/>
          <c:showBubbleSize val="0"/>
        </c:dLbls>
        <c:marker val="1"/>
        <c:smooth val="0"/>
        <c:axId val="1710320656"/>
        <c:axId val="1024354448"/>
      </c:lineChart>
      <c:catAx>
        <c:axId val="1710320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54448"/>
        <c:crosses val="autoZero"/>
        <c:auto val="1"/>
        <c:lblAlgn val="ctr"/>
        <c:lblOffset val="100"/>
        <c:noMultiLvlLbl val="0"/>
      </c:catAx>
      <c:valAx>
        <c:axId val="102435444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2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317500</xdr:colOff>
      <xdr:row>2</xdr:row>
      <xdr:rowOff>25400</xdr:rowOff>
    </xdr:from>
    <xdr:to>
      <xdr:col>14</xdr:col>
      <xdr:colOff>317500</xdr:colOff>
      <xdr:row>15</xdr:row>
      <xdr:rowOff>155575</xdr:rowOff>
    </xdr:to>
    <mc:AlternateContent xmlns:mc="http://schemas.openxmlformats.org/markup-compatibility/2006" xmlns:a14="http://schemas.microsoft.com/office/drawing/2010/main">
      <mc:Choice Requires="a14">
        <xdr:graphicFrame macro="">
          <xdr:nvGraphicFramePr>
            <xdr:cNvPr id="11" name="Name">
              <a:extLst>
                <a:ext uri="{FF2B5EF4-FFF2-40B4-BE49-F238E27FC236}">
                  <a16:creationId xmlns:a16="http://schemas.microsoft.com/office/drawing/2014/main" id="{DAAD6A25-EE1E-4EF9-8623-192512BB0E6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976429" y="388257"/>
              <a:ext cx="1823357"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469900</xdr:colOff>
      <xdr:row>2</xdr:row>
      <xdr:rowOff>25400</xdr:rowOff>
    </xdr:from>
    <xdr:to>
      <xdr:col>17</xdr:col>
      <xdr:colOff>469900</xdr:colOff>
      <xdr:row>15</xdr:row>
      <xdr:rowOff>155575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1520F013-0DA1-47A1-938D-D64B49FEEF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52186" y="388257"/>
              <a:ext cx="1823357"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273050</xdr:colOff>
      <xdr:row>16</xdr:row>
      <xdr:rowOff>38100</xdr:rowOff>
    </xdr:from>
    <xdr:to>
      <xdr:col>11</xdr:col>
      <xdr:colOff>273049</xdr:colOff>
      <xdr:row>29</xdr:row>
      <xdr:rowOff>168275</xdr:rowOff>
    </xdr:to>
    <mc:AlternateContent xmlns:mc="http://schemas.openxmlformats.org/markup-compatibility/2006" xmlns:a14="http://schemas.microsoft.com/office/drawing/2010/main">
      <mc:Choice Requires="a14">
        <xdr:graphicFrame macro="">
          <xdr:nvGraphicFramePr>
            <xdr:cNvPr id="13" name="Rating">
              <a:extLst>
                <a:ext uri="{FF2B5EF4-FFF2-40B4-BE49-F238E27FC236}">
                  <a16:creationId xmlns:a16="http://schemas.microsoft.com/office/drawing/2014/main" id="{D40BD9DA-C45D-4250-9863-0229B6310C8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9108621" y="2940957"/>
              <a:ext cx="1823357"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349250</xdr:colOff>
      <xdr:row>16</xdr:row>
      <xdr:rowOff>50800</xdr:rowOff>
    </xdr:from>
    <xdr:to>
      <xdr:col>14</xdr:col>
      <xdr:colOff>349250</xdr:colOff>
      <xdr:row>29</xdr:row>
      <xdr:rowOff>180975</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AB47A3ED-9CA0-4C45-873D-E9C09E4AD40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008179" y="2953657"/>
              <a:ext cx="1823357"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488950</xdr:colOff>
      <xdr:row>16</xdr:row>
      <xdr:rowOff>50800</xdr:rowOff>
    </xdr:from>
    <xdr:to>
      <xdr:col>17</xdr:col>
      <xdr:colOff>488950</xdr:colOff>
      <xdr:row>29</xdr:row>
      <xdr:rowOff>180975</xdr:rowOff>
    </xdr:to>
    <mc:AlternateContent xmlns:mc="http://schemas.openxmlformats.org/markup-compatibility/2006" xmlns:a14="http://schemas.microsoft.com/office/drawing/2010/main">
      <mc:Choice Requires="a14">
        <xdr:graphicFrame macro="">
          <xdr:nvGraphicFramePr>
            <xdr:cNvPr id="16" name="Total Cost">
              <a:extLst>
                <a:ext uri="{FF2B5EF4-FFF2-40B4-BE49-F238E27FC236}">
                  <a16:creationId xmlns:a16="http://schemas.microsoft.com/office/drawing/2014/main" id="{2AD95038-FA1E-4066-93CD-8025E510AAB3}"/>
                </a:ext>
              </a:extLst>
            </xdr:cNvPr>
            <xdr:cNvGraphicFramePr/>
          </xdr:nvGraphicFramePr>
          <xdr:xfrm>
            <a:off x="0" y="0"/>
            <a:ext cx="0" cy="0"/>
          </xdr:xfrm>
          <a:graphic>
            <a:graphicData uri="http://schemas.microsoft.com/office/drawing/2010/slicer">
              <sle:slicer xmlns:sle="http://schemas.microsoft.com/office/drawing/2010/slicer" name="Total Cost"/>
            </a:graphicData>
          </a:graphic>
        </xdr:graphicFrame>
      </mc:Choice>
      <mc:Fallback xmlns="">
        <xdr:sp macro="" textlink="">
          <xdr:nvSpPr>
            <xdr:cNvPr id="0" name=""/>
            <xdr:cNvSpPr>
              <a:spLocks noTextEdit="1"/>
            </xdr:cNvSpPr>
          </xdr:nvSpPr>
          <xdr:spPr>
            <a:xfrm>
              <a:off x="12971236" y="2953657"/>
              <a:ext cx="1823357"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167822</xdr:colOff>
      <xdr:row>2</xdr:row>
      <xdr:rowOff>18144</xdr:rowOff>
    </xdr:from>
    <xdr:to>
      <xdr:col>11</xdr:col>
      <xdr:colOff>173264</xdr:colOff>
      <xdr:row>9</xdr:row>
      <xdr:rowOff>45358</xdr:rowOff>
    </xdr:to>
    <mc:AlternateContent xmlns:mc="http://schemas.openxmlformats.org/markup-compatibility/2006">
      <mc:Choice xmlns:a14="http://schemas.microsoft.com/office/drawing/2010/main" Requires="a14">
        <xdr:graphicFrame macro="">
          <xdr:nvGraphicFramePr>
            <xdr:cNvPr id="3" name="Years_">
              <a:extLst>
                <a:ext uri="{FF2B5EF4-FFF2-40B4-BE49-F238E27FC236}">
                  <a16:creationId xmlns:a16="http://schemas.microsoft.com/office/drawing/2014/main" id="{BD101068-5130-4809-967E-A59E71B43A39}"/>
                </a:ext>
              </a:extLst>
            </xdr:cNvPr>
            <xdr:cNvGraphicFramePr/>
          </xdr:nvGraphicFramePr>
          <xdr:xfrm>
            <a:off x="0" y="0"/>
            <a:ext cx="0" cy="0"/>
          </xdr:xfrm>
          <a:graphic>
            <a:graphicData uri="http://schemas.microsoft.com/office/drawing/2010/slicer">
              <sle:slicer xmlns:sle="http://schemas.microsoft.com/office/drawing/2010/slicer" name="Years_"/>
            </a:graphicData>
          </a:graphic>
        </xdr:graphicFrame>
      </mc:Choice>
      <mc:Fallback>
        <xdr:sp macro="" textlink="">
          <xdr:nvSpPr>
            <xdr:cNvPr id="0" name=""/>
            <xdr:cNvSpPr>
              <a:spLocks noTextEdit="1"/>
            </xdr:cNvSpPr>
          </xdr:nvSpPr>
          <xdr:spPr>
            <a:xfrm>
              <a:off x="8495393" y="381001"/>
              <a:ext cx="1828800" cy="129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158839</xdr:colOff>
      <xdr:row>6</xdr:row>
      <xdr:rowOff>67684</xdr:rowOff>
    </xdr:from>
    <xdr:to>
      <xdr:col>9</xdr:col>
      <xdr:colOff>533716</xdr:colOff>
      <xdr:row>21</xdr:row>
      <xdr:rowOff>123473</xdr:rowOff>
    </xdr:to>
    <xdr:graphicFrame macro="">
      <xdr:nvGraphicFramePr>
        <xdr:cNvPr id="2" name="Chart 7">
          <a:extLst>
            <a:ext uri="{FF2B5EF4-FFF2-40B4-BE49-F238E27FC236}">
              <a16:creationId xmlns:a16="http://schemas.microsoft.com/office/drawing/2014/main" id="{F4E8A55D-332A-4806-B753-62D2EB2A3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340265</xdr:colOff>
      <xdr:row>7</xdr:row>
      <xdr:rowOff>19078</xdr:rowOff>
    </xdr:from>
    <xdr:to>
      <xdr:col>26</xdr:col>
      <xdr:colOff>75606</xdr:colOff>
      <xdr:row>21</xdr:row>
      <xdr:rowOff>155605</xdr:rowOff>
    </xdr:to>
    <xdr:graphicFrame macro="">
      <xdr:nvGraphicFramePr>
        <xdr:cNvPr id="3" name="Chart 8">
          <a:extLst>
            <a:ext uri="{FF2B5EF4-FFF2-40B4-BE49-F238E27FC236}">
              <a16:creationId xmlns:a16="http://schemas.microsoft.com/office/drawing/2014/main" id="{CEA3CFE6-3E9B-43EE-870D-AD50E72A9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587658</xdr:colOff>
      <xdr:row>5</xdr:row>
      <xdr:rowOff>145706</xdr:rowOff>
    </xdr:from>
    <xdr:to>
      <xdr:col>17</xdr:col>
      <xdr:colOff>375090</xdr:colOff>
      <xdr:row>23</xdr:row>
      <xdr:rowOff>9182</xdr:rowOff>
    </xdr:to>
    <xdr:graphicFrame macro="">
      <xdr:nvGraphicFramePr>
        <xdr:cNvPr id="4" name="Chart 16">
          <a:extLst>
            <a:ext uri="{FF2B5EF4-FFF2-40B4-BE49-F238E27FC236}">
              <a16:creationId xmlns:a16="http://schemas.microsoft.com/office/drawing/2014/main" id="{C79157CE-59E2-4AA4-BEDF-749990BDB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565588</xdr:colOff>
      <xdr:row>23</xdr:row>
      <xdr:rowOff>90571</xdr:rowOff>
    </xdr:from>
    <xdr:to>
      <xdr:col>12</xdr:col>
      <xdr:colOff>329732</xdr:colOff>
      <xdr:row>40</xdr:row>
      <xdr:rowOff>163141</xdr:rowOff>
    </xdr:to>
    <xdr:graphicFrame macro="">
      <xdr:nvGraphicFramePr>
        <xdr:cNvPr id="5" name="Chart 17">
          <a:extLst>
            <a:ext uri="{FF2B5EF4-FFF2-40B4-BE49-F238E27FC236}">
              <a16:creationId xmlns:a16="http://schemas.microsoft.com/office/drawing/2014/main" id="{775AD68D-98A2-48C5-BCE4-BF4BDA858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41729</xdr:colOff>
      <xdr:row>13</xdr:row>
      <xdr:rowOff>135164</xdr:rowOff>
    </xdr:from>
    <xdr:to>
      <xdr:col>3</xdr:col>
      <xdr:colOff>41729</xdr:colOff>
      <xdr:row>24</xdr:row>
      <xdr:rowOff>136072</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A14A5485-6B5E-4027-AC87-C408AB4DC9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1729" y="2784021"/>
              <a:ext cx="1823357" cy="1996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444499</xdr:colOff>
      <xdr:row>2</xdr:row>
      <xdr:rowOff>123598</xdr:rowOff>
    </xdr:from>
    <xdr:to>
      <xdr:col>12</xdr:col>
      <xdr:colOff>233985</xdr:colOff>
      <xdr:row>5</xdr:row>
      <xdr:rowOff>155348</xdr:rowOff>
    </xdr:to>
    <xdr:grpSp>
      <xdr:nvGrpSpPr>
        <xdr:cNvPr id="8" name="Group 7">
          <a:extLst>
            <a:ext uri="{FF2B5EF4-FFF2-40B4-BE49-F238E27FC236}">
              <a16:creationId xmlns:a16="http://schemas.microsoft.com/office/drawing/2014/main" id="{5001FA9C-76F6-41B3-8876-1F36133E494C}"/>
            </a:ext>
          </a:extLst>
        </xdr:cNvPr>
        <xdr:cNvGrpSpPr/>
      </xdr:nvGrpSpPr>
      <xdr:grpSpPr>
        <a:xfrm>
          <a:off x="5306785" y="776741"/>
          <a:ext cx="2220629" cy="576036"/>
          <a:chOff x="3328308" y="611187"/>
          <a:chExt cx="1468438" cy="579437"/>
        </a:xfrm>
      </xdr:grpSpPr>
      <xdr:sp macro="" textlink="'Pivot Table'!A37">
        <xdr:nvSpPr>
          <xdr:cNvPr id="15" name="Rectangle 14">
            <a:extLst>
              <a:ext uri="{FF2B5EF4-FFF2-40B4-BE49-F238E27FC236}">
                <a16:creationId xmlns:a16="http://schemas.microsoft.com/office/drawing/2014/main" id="{7A89216C-FF8C-47E2-929A-548D7CEBAE72}"/>
              </a:ext>
            </a:extLst>
          </xdr:cNvPr>
          <xdr:cNvSpPr/>
        </xdr:nvSpPr>
        <xdr:spPr>
          <a:xfrm>
            <a:off x="3328308" y="611187"/>
            <a:ext cx="1468438" cy="579437"/>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7EA5350-AAE4-4605-9E69-A6F3CE5A041C}" type="TxLink">
              <a:rPr lang="en-US" sz="1800" b="0" i="0" u="none" strike="noStrike">
                <a:solidFill>
                  <a:srgbClr val="000000"/>
                </a:solidFill>
                <a:latin typeface="Calibri"/>
                <a:cs typeface="Calibri"/>
              </a:rPr>
              <a:pPr algn="ctr"/>
              <a:t> 26,400 </a:t>
            </a:fld>
            <a:endParaRPr lang="en-US" sz="1800"/>
          </a:p>
        </xdr:txBody>
      </xdr:sp>
      <xdr:sp macro="" textlink="">
        <xdr:nvSpPr>
          <xdr:cNvPr id="6" name="TextBox 5">
            <a:extLst>
              <a:ext uri="{FF2B5EF4-FFF2-40B4-BE49-F238E27FC236}">
                <a16:creationId xmlns:a16="http://schemas.microsoft.com/office/drawing/2014/main" id="{1BA8BC96-01BE-4AE8-8071-46E39E18D9E6}"/>
              </a:ext>
            </a:extLst>
          </xdr:cNvPr>
          <xdr:cNvSpPr txBox="1"/>
        </xdr:nvSpPr>
        <xdr:spPr>
          <a:xfrm>
            <a:off x="3357115" y="619126"/>
            <a:ext cx="1405833" cy="23812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SALES</a:t>
            </a:r>
          </a:p>
        </xdr:txBody>
      </xdr:sp>
    </xdr:grpSp>
    <xdr:clientData/>
  </xdr:twoCellAnchor>
  <xdr:twoCellAnchor>
    <xdr:from>
      <xdr:col>14</xdr:col>
      <xdr:colOff>480105</xdr:colOff>
      <xdr:row>2</xdr:row>
      <xdr:rowOff>105907</xdr:rowOff>
    </xdr:from>
    <xdr:to>
      <xdr:col>18</xdr:col>
      <xdr:colOff>269591</xdr:colOff>
      <xdr:row>5</xdr:row>
      <xdr:rowOff>137657</xdr:rowOff>
    </xdr:to>
    <xdr:grpSp>
      <xdr:nvGrpSpPr>
        <xdr:cNvPr id="12" name="Group 11">
          <a:extLst>
            <a:ext uri="{FF2B5EF4-FFF2-40B4-BE49-F238E27FC236}">
              <a16:creationId xmlns:a16="http://schemas.microsoft.com/office/drawing/2014/main" id="{B8692A0F-51F9-47F8-8C99-A23C14C91F85}"/>
            </a:ext>
          </a:extLst>
        </xdr:cNvPr>
        <xdr:cNvGrpSpPr/>
      </xdr:nvGrpSpPr>
      <xdr:grpSpPr>
        <a:xfrm>
          <a:off x="8989105" y="759050"/>
          <a:ext cx="2220629" cy="576036"/>
          <a:chOff x="3328308" y="611187"/>
          <a:chExt cx="1468438" cy="579437"/>
        </a:xfrm>
      </xdr:grpSpPr>
      <xdr:sp macro="" textlink="'Pivot Table'!D37">
        <xdr:nvSpPr>
          <xdr:cNvPr id="13" name="Rectangle 12">
            <a:extLst>
              <a:ext uri="{FF2B5EF4-FFF2-40B4-BE49-F238E27FC236}">
                <a16:creationId xmlns:a16="http://schemas.microsoft.com/office/drawing/2014/main" id="{0D8B4EB7-F5B0-4D28-9C0E-4EEAB11C49FC}"/>
              </a:ext>
            </a:extLst>
          </xdr:cNvPr>
          <xdr:cNvSpPr/>
        </xdr:nvSpPr>
        <xdr:spPr>
          <a:xfrm>
            <a:off x="3328308" y="611187"/>
            <a:ext cx="1468438" cy="579437"/>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5B8D686-C3CF-4A60-953A-0F7341FF9439}" type="TxLink">
              <a:rPr lang="en-US" sz="1800" b="0" i="0" u="none" strike="noStrike">
                <a:solidFill>
                  <a:srgbClr val="000000"/>
                </a:solidFill>
                <a:latin typeface="Calibri"/>
                <a:cs typeface="Calibri"/>
              </a:rPr>
              <a:pPr algn="ctr"/>
              <a:t>965</a:t>
            </a:fld>
            <a:endParaRPr lang="en-US" sz="1800"/>
          </a:p>
        </xdr:txBody>
      </xdr:sp>
      <xdr:sp macro="" textlink="">
        <xdr:nvSpPr>
          <xdr:cNvPr id="14" name="TextBox 13">
            <a:extLst>
              <a:ext uri="{FF2B5EF4-FFF2-40B4-BE49-F238E27FC236}">
                <a16:creationId xmlns:a16="http://schemas.microsoft.com/office/drawing/2014/main" id="{9933E130-BC7D-4C87-988F-28E351DF33FC}"/>
              </a:ext>
            </a:extLst>
          </xdr:cNvPr>
          <xdr:cNvSpPr txBox="1"/>
        </xdr:nvSpPr>
        <xdr:spPr>
          <a:xfrm>
            <a:off x="3357115" y="619126"/>
            <a:ext cx="1405833" cy="23812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QTY</a:t>
            </a:r>
            <a:r>
              <a:rPr lang="en-US" sz="1400" b="1" baseline="0"/>
              <a:t> SOLD</a:t>
            </a:r>
            <a:endParaRPr lang="en-US" sz="1400" b="1"/>
          </a:p>
        </xdr:txBody>
      </xdr:sp>
    </xdr:grpSp>
    <xdr:clientData/>
  </xdr:twoCellAnchor>
  <xdr:twoCellAnchor editAs="oneCell">
    <xdr:from>
      <xdr:col>0</xdr:col>
      <xdr:colOff>54426</xdr:colOff>
      <xdr:row>25</xdr:row>
      <xdr:rowOff>54429</xdr:rowOff>
    </xdr:from>
    <xdr:to>
      <xdr:col>3</xdr:col>
      <xdr:colOff>54427</xdr:colOff>
      <xdr:row>39</xdr:row>
      <xdr:rowOff>3176</xdr:rowOff>
    </xdr:to>
    <mc:AlternateContent xmlns:mc="http://schemas.openxmlformats.org/markup-compatibility/2006">
      <mc:Choice xmlns:a14="http://schemas.microsoft.com/office/drawing/2010/main" Requires="a14">
        <xdr:graphicFrame macro="">
          <xdr:nvGraphicFramePr>
            <xdr:cNvPr id="16" name="Product 1">
              <a:extLst>
                <a:ext uri="{FF2B5EF4-FFF2-40B4-BE49-F238E27FC236}">
                  <a16:creationId xmlns:a16="http://schemas.microsoft.com/office/drawing/2014/main" id="{879F06BF-A96F-4B6D-A715-AF95945B2B4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4426" y="4880429"/>
              <a:ext cx="1823358"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81645</xdr:colOff>
      <xdr:row>23</xdr:row>
      <xdr:rowOff>81640</xdr:rowOff>
    </xdr:from>
    <xdr:to>
      <xdr:col>21</xdr:col>
      <xdr:colOff>580571</xdr:colOff>
      <xdr:row>40</xdr:row>
      <xdr:rowOff>36285</xdr:rowOff>
    </xdr:to>
    <xdr:graphicFrame macro="">
      <xdr:nvGraphicFramePr>
        <xdr:cNvPr id="9" name="Chart 1">
          <a:extLst>
            <a:ext uri="{FF2B5EF4-FFF2-40B4-BE49-F238E27FC236}">
              <a16:creationId xmlns:a16="http://schemas.microsoft.com/office/drawing/2014/main" id="{ED584C49-ECA7-4A7E-B305-90AEDC888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54429</xdr:colOff>
      <xdr:row>6</xdr:row>
      <xdr:rowOff>54429</xdr:rowOff>
    </xdr:from>
    <xdr:to>
      <xdr:col>3</xdr:col>
      <xdr:colOff>59872</xdr:colOff>
      <xdr:row>13</xdr:row>
      <xdr:rowOff>81643</xdr:rowOff>
    </xdr:to>
    <mc:AlternateContent xmlns:mc="http://schemas.openxmlformats.org/markup-compatibility/2006">
      <mc:Choice xmlns:a14="http://schemas.microsoft.com/office/drawing/2010/main" Requires="a14">
        <xdr:graphicFrame macro="">
          <xdr:nvGraphicFramePr>
            <xdr:cNvPr id="18" name="Years_ 1">
              <a:extLst>
                <a:ext uri="{FF2B5EF4-FFF2-40B4-BE49-F238E27FC236}">
                  <a16:creationId xmlns:a16="http://schemas.microsoft.com/office/drawing/2014/main" id="{C31C7935-8331-4471-88E4-FBCC96400FCB}"/>
                </a:ext>
              </a:extLst>
            </xdr:cNvPr>
            <xdr:cNvGraphicFramePr/>
          </xdr:nvGraphicFramePr>
          <xdr:xfrm>
            <a:off x="0" y="0"/>
            <a:ext cx="0" cy="0"/>
          </xdr:xfrm>
          <a:graphic>
            <a:graphicData uri="http://schemas.microsoft.com/office/drawing/2010/slicer">
              <sle:slicer xmlns:sle="http://schemas.microsoft.com/office/drawing/2010/slicer" name="Years_ 1"/>
            </a:graphicData>
          </a:graphic>
        </xdr:graphicFrame>
      </mc:Choice>
      <mc:Fallback>
        <xdr:sp macro="" textlink="">
          <xdr:nvSpPr>
            <xdr:cNvPr id="0" name=""/>
            <xdr:cNvSpPr>
              <a:spLocks noTextEdit="1"/>
            </xdr:cNvSpPr>
          </xdr:nvSpPr>
          <xdr:spPr>
            <a:xfrm>
              <a:off x="54429" y="1433286"/>
              <a:ext cx="1828800" cy="129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IMteSLIM" refreshedDate="45991.446460069441" createdVersion="6" refreshedVersion="6" minRefreshableVersion="3" recordCount="28" xr:uid="{D5CC1D70-E697-4E93-842B-056B162E5F1D}">
  <cacheSource type="worksheet">
    <worksheetSource name="Table3"/>
  </cacheSource>
  <cacheFields count="13">
    <cacheField name="Date" numFmtId="14">
      <sharedItems containsSemiMixedTypes="0" containsNonDate="0" containsDate="1" containsString="0" minDate="2021-01-31T00:00:00" maxDate="2023-05-01T00:00:00" count="28">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sharedItems>
      <fieldGroup par="12" base="0">
        <rangePr groupBy="months" startDate="2021-01-31T00:00:00" endDate="2023-05-01T00:00:00"/>
        <groupItems count="14">
          <s v="&lt;1/31/2021"/>
          <s v="Jan"/>
          <s v="Feb"/>
          <s v="Mar"/>
          <s v="Apr"/>
          <s v="May"/>
          <s v="Jun"/>
          <s v="Jul"/>
          <s v="Aug"/>
          <s v="Sep"/>
          <s v="Oct"/>
          <s v="Nov"/>
          <s v="Dec"/>
          <s v="&gt;5/1/2023"/>
        </groupItems>
      </fieldGroup>
    </cacheField>
    <cacheField name="Years_" numFmtId="0">
      <sharedItems containsSemiMixedTypes="0" containsString="0" containsNumber="1" containsInteger="1" minValue="2021" maxValue="2023" count="3">
        <n v="2021"/>
        <n v="2022"/>
        <n v="2023"/>
      </sharedItems>
    </cacheField>
    <cacheField name="ID" numFmtId="0">
      <sharedItems containsSemiMixedTypes="0" containsString="0" containsNumber="1" containsInteger="1" minValue="1" maxValue="28"/>
    </cacheField>
    <cacheField name="Name" numFmtId="0">
      <sharedItems count="26">
        <s v="John Smith"/>
        <s v="Jane Doe"/>
        <s v="Mike Tyson"/>
        <s v="Anna Belle"/>
        <s v="Chris P. Bacon"/>
        <s v="Peter Parker"/>
        <s v="Mary Jane"/>
        <s v="Bruce Wayne"/>
        <s v="Clark Kent"/>
        <s v="Diana Prince"/>
        <s v="Tony Stark"/>
        <s v="Steve Rogers"/>
        <s v="Natasha Romanoff"/>
        <s v="Bruce Banner"/>
        <s v="Nick Fury"/>
        <s v="Phil Coulson"/>
        <s v="Peggy Carter"/>
        <s v="Howard Stark"/>
        <s v="Hank Pym"/>
        <s v="Janet van Dyne"/>
        <s v="Kurt Busiek"/>
        <s v="George Perez"/>
        <s v="Roger Stern"/>
        <s v="Tom DeFalco"/>
        <s v="Loki Laufeyson"/>
        <s v="Thor Odinson"/>
      </sharedItems>
    </cacheField>
    <cacheField name="Region" numFmtId="0">
      <sharedItems count="6">
        <s v="North"/>
        <s v="East"/>
        <s v="West"/>
        <s v="South"/>
        <s v="Unknown"/>
        <s v="Asgard"/>
      </sharedItems>
    </cacheField>
    <cacheField name="Rating" numFmtId="0">
      <sharedItems count="8">
        <s v="Good"/>
        <s v="Excelent"/>
        <s v="Poor"/>
        <s v="Average"/>
        <s v="Mischief"/>
        <s v="Worthy"/>
        <s v="Spy"/>
        <s v="Leader"/>
      </sharedItems>
    </cacheField>
    <cacheField name="Product" numFmtId="0">
      <sharedItems count="28">
        <s v="Magic Wand"/>
        <s v="Unicorn Horn"/>
        <s v="Boxing Gloves"/>
        <s v="Fairy Dust"/>
        <s v="Bacon Scented Candle"/>
        <s v="Web Shooter"/>
        <s v="Potent Potion"/>
        <s v="Bat Signal"/>
        <s v="Glasses with X-ray Vision"/>
        <s v="Lasso of Truth"/>
        <s v="Iron Man Suit"/>
        <s v="Captain America Shield"/>
        <s v="Black Widow's Bite"/>
        <s v="Gamma Radiation Serum"/>
        <s v="Eye Patch"/>
        <s v="Agent ID Card"/>
        <s v="Vintage Pistol"/>
        <s v="Arc Reactor"/>
        <s v="Ant-Man Suit"/>
        <s v="Wasp's Wings"/>
        <s v="Comic Book"/>
        <s v="Drawing Pad"/>
        <s v="Notepads"/>
        <s v="Pen Set"/>
        <s v="Trickster's Hat"/>
        <s v="Mjolnir"/>
        <s v="Spy Kit"/>
        <s v="Leadership Manual"/>
      </sharedItems>
    </cacheField>
    <cacheField name="Quantity" numFmtId="0">
      <sharedItems containsSemiMixedTypes="0" containsString="0" containsNumber="1" containsInteger="1" minValue="0" maxValue="85"/>
    </cacheField>
    <cacheField name="Status" numFmtId="0">
      <sharedItems/>
    </cacheField>
    <cacheField name="Price Per Unit" numFmtId="43">
      <sharedItems containsString="0" containsBlank="1" containsNumber="1" minValue="10" maxValue="160"/>
    </cacheField>
    <cacheField name="Total Cost" numFmtId="43">
      <sharedItems containsSemiMixedTypes="0" containsString="0" containsNumber="1" minValue="0" maxValue="2499.85" count="23">
        <n v="200"/>
        <n v="150"/>
        <n v="0"/>
        <n v="250"/>
        <n v="500.1"/>
        <n v="350"/>
        <n v="600"/>
        <n v="549.9"/>
        <n v="700"/>
        <n v="800"/>
        <n v="900"/>
        <n v="1100.1000000000001"/>
        <n v="1200.1499999999999"/>
        <n v="1400"/>
        <n v="1499.85"/>
        <n v="1600"/>
        <n v="1700.05"/>
        <n v="1800"/>
        <n v="2000.05"/>
        <n v="2100"/>
        <n v="2199.75"/>
        <n v="2300"/>
        <n v="2499.85"/>
      </sharedItems>
    </cacheField>
    <cacheField name="Quarters" numFmtId="0" databaseField="0">
      <fieldGroup base="0">
        <rangePr groupBy="quarters" startDate="2021-01-31T00:00:00" endDate="2023-05-01T00:00:00"/>
        <groupItems count="6">
          <s v="&lt;1/31/2021"/>
          <s v="Qtr1"/>
          <s v="Qtr2"/>
          <s v="Qtr3"/>
          <s v="Qtr4"/>
          <s v="&gt;5/1/2023"/>
        </groupItems>
      </fieldGroup>
    </cacheField>
    <cacheField name="Years" numFmtId="0" databaseField="0">
      <fieldGroup base="0">
        <rangePr groupBy="years" startDate="2021-01-31T00:00:00" endDate="2023-05-01T00:00:00"/>
        <groupItems count="5">
          <s v="&lt;1/31/2021"/>
          <s v="2021"/>
          <s v="2022"/>
          <s v="2023"/>
          <s v="&gt;5/1/2023"/>
        </groupItems>
      </fieldGroup>
    </cacheField>
  </cacheFields>
  <extLst>
    <ext xmlns:x14="http://schemas.microsoft.com/office/spreadsheetml/2009/9/main" uri="{725AE2AE-9491-48be-B2B4-4EB974FC3084}">
      <x14:pivotCacheDefinition pivotCacheId="1795081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1"/>
    <x v="0"/>
    <x v="0"/>
    <x v="0"/>
    <x v="0"/>
    <n v="10"/>
    <s v="Valid"/>
    <n v="20"/>
    <x v="0"/>
  </r>
  <r>
    <x v="1"/>
    <x v="0"/>
    <n v="2"/>
    <x v="1"/>
    <x v="1"/>
    <x v="1"/>
    <x v="1"/>
    <n v="15"/>
    <s v="Valid"/>
    <n v="10"/>
    <x v="1"/>
  </r>
  <r>
    <x v="2"/>
    <x v="0"/>
    <n v="3"/>
    <x v="2"/>
    <x v="2"/>
    <x v="2"/>
    <x v="2"/>
    <n v="0"/>
    <s v="Invalid Qty"/>
    <m/>
    <x v="2"/>
  </r>
  <r>
    <x v="3"/>
    <x v="0"/>
    <n v="4"/>
    <x v="3"/>
    <x v="3"/>
    <x v="3"/>
    <x v="3"/>
    <n v="25"/>
    <s v="Valid"/>
    <n v="10"/>
    <x v="3"/>
  </r>
  <r>
    <x v="4"/>
    <x v="0"/>
    <n v="5"/>
    <x v="4"/>
    <x v="1"/>
    <x v="0"/>
    <x v="4"/>
    <n v="30"/>
    <s v="Valid"/>
    <n v="16.670000000000002"/>
    <x v="4"/>
  </r>
  <r>
    <x v="5"/>
    <x v="0"/>
    <n v="6"/>
    <x v="5"/>
    <x v="4"/>
    <x v="1"/>
    <x v="5"/>
    <n v="0"/>
    <s v="Invalid Qty"/>
    <m/>
    <x v="2"/>
  </r>
  <r>
    <x v="6"/>
    <x v="0"/>
    <n v="7"/>
    <x v="6"/>
    <x v="2"/>
    <x v="2"/>
    <x v="6"/>
    <n v="35"/>
    <s v="Valid"/>
    <n v="10"/>
    <x v="5"/>
  </r>
  <r>
    <x v="7"/>
    <x v="0"/>
    <n v="8"/>
    <x v="7"/>
    <x v="3"/>
    <x v="3"/>
    <x v="7"/>
    <n v="40"/>
    <s v="Valid"/>
    <n v="15"/>
    <x v="6"/>
  </r>
  <r>
    <x v="8"/>
    <x v="0"/>
    <n v="9"/>
    <x v="8"/>
    <x v="1"/>
    <x v="0"/>
    <x v="8"/>
    <n v="45"/>
    <s v="Valid"/>
    <n v="12.22"/>
    <x v="7"/>
  </r>
  <r>
    <x v="9"/>
    <x v="0"/>
    <n v="10"/>
    <x v="9"/>
    <x v="0"/>
    <x v="1"/>
    <x v="9"/>
    <n v="50"/>
    <s v="Valid"/>
    <n v="14"/>
    <x v="8"/>
  </r>
  <r>
    <x v="10"/>
    <x v="0"/>
    <n v="11"/>
    <x v="10"/>
    <x v="2"/>
    <x v="2"/>
    <x v="10"/>
    <n v="5"/>
    <s v="Valid"/>
    <n v="160"/>
    <x v="9"/>
  </r>
  <r>
    <x v="11"/>
    <x v="0"/>
    <n v="12"/>
    <x v="11"/>
    <x v="3"/>
    <x v="3"/>
    <x v="11"/>
    <n v="20"/>
    <s v="Valid"/>
    <n v="45"/>
    <x v="10"/>
  </r>
  <r>
    <x v="12"/>
    <x v="1"/>
    <n v="13"/>
    <x v="12"/>
    <x v="1"/>
    <x v="0"/>
    <x v="12"/>
    <n v="0"/>
    <s v="Invalid Qty"/>
    <m/>
    <x v="2"/>
  </r>
  <r>
    <x v="13"/>
    <x v="1"/>
    <n v="14"/>
    <x v="13"/>
    <x v="4"/>
    <x v="1"/>
    <x v="13"/>
    <n v="30"/>
    <s v="Valid"/>
    <n v="36.67"/>
    <x v="11"/>
  </r>
  <r>
    <x v="14"/>
    <x v="1"/>
    <n v="15"/>
    <x v="14"/>
    <x v="2"/>
    <x v="2"/>
    <x v="14"/>
    <n v="35"/>
    <s v="Valid"/>
    <n v="34.29"/>
    <x v="12"/>
  </r>
  <r>
    <x v="15"/>
    <x v="1"/>
    <n v="16"/>
    <x v="15"/>
    <x v="4"/>
    <x v="3"/>
    <x v="15"/>
    <n v="0"/>
    <s v="Invalid Qty"/>
    <m/>
    <x v="2"/>
  </r>
  <r>
    <x v="16"/>
    <x v="1"/>
    <n v="17"/>
    <x v="16"/>
    <x v="1"/>
    <x v="0"/>
    <x v="16"/>
    <n v="40"/>
    <s v="Valid"/>
    <n v="35"/>
    <x v="13"/>
  </r>
  <r>
    <x v="17"/>
    <x v="1"/>
    <n v="18"/>
    <x v="17"/>
    <x v="0"/>
    <x v="1"/>
    <x v="17"/>
    <n v="45"/>
    <s v="Valid"/>
    <n v="33.33"/>
    <x v="14"/>
  </r>
  <r>
    <x v="18"/>
    <x v="1"/>
    <n v="19"/>
    <x v="18"/>
    <x v="2"/>
    <x v="2"/>
    <x v="18"/>
    <n v="50"/>
    <s v="Valid"/>
    <n v="32"/>
    <x v="15"/>
  </r>
  <r>
    <x v="19"/>
    <x v="1"/>
    <n v="20"/>
    <x v="19"/>
    <x v="3"/>
    <x v="3"/>
    <x v="19"/>
    <n v="55"/>
    <s v="Valid"/>
    <n v="30.91"/>
    <x v="16"/>
  </r>
  <r>
    <x v="20"/>
    <x v="1"/>
    <n v="21"/>
    <x v="20"/>
    <x v="1"/>
    <x v="0"/>
    <x v="20"/>
    <n v="60"/>
    <s v="Valid"/>
    <n v="30"/>
    <x v="17"/>
  </r>
  <r>
    <x v="21"/>
    <x v="1"/>
    <n v="22"/>
    <x v="21"/>
    <x v="0"/>
    <x v="1"/>
    <x v="21"/>
    <n v="0"/>
    <s v="Invalid Qty"/>
    <m/>
    <x v="2"/>
  </r>
  <r>
    <x v="22"/>
    <x v="1"/>
    <n v="23"/>
    <x v="22"/>
    <x v="2"/>
    <x v="2"/>
    <x v="22"/>
    <n v="65"/>
    <s v="Valid"/>
    <n v="30.77"/>
    <x v="18"/>
  </r>
  <r>
    <x v="23"/>
    <x v="1"/>
    <n v="24"/>
    <x v="23"/>
    <x v="3"/>
    <x v="3"/>
    <x v="23"/>
    <n v="70"/>
    <s v="Valid"/>
    <n v="30"/>
    <x v="19"/>
  </r>
  <r>
    <x v="24"/>
    <x v="2"/>
    <n v="25"/>
    <x v="24"/>
    <x v="5"/>
    <x v="4"/>
    <x v="24"/>
    <n v="75"/>
    <s v="Valid"/>
    <n v="29.33"/>
    <x v="20"/>
  </r>
  <r>
    <x v="25"/>
    <x v="2"/>
    <n v="26"/>
    <x v="25"/>
    <x v="5"/>
    <x v="5"/>
    <x v="25"/>
    <n v="80"/>
    <s v="Valid"/>
    <n v="28.75"/>
    <x v="21"/>
  </r>
  <r>
    <x v="26"/>
    <x v="2"/>
    <n v="27"/>
    <x v="12"/>
    <x v="1"/>
    <x v="6"/>
    <x v="26"/>
    <n v="0"/>
    <s v="Invalid Qty"/>
    <m/>
    <x v="2"/>
  </r>
  <r>
    <x v="27"/>
    <x v="2"/>
    <n v="28"/>
    <x v="11"/>
    <x v="3"/>
    <x v="7"/>
    <x v="27"/>
    <n v="85"/>
    <s v="Valid"/>
    <n v="29.41"/>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4370E-4EB5-418A-9F83-ADE39391C184}" name="PivotTable4"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3:H32"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axis="axisRow"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dataField="1"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 Cost" fld="10" baseField="0" baseItem="0" numFmtId="164"/>
  </dataFields>
  <formats count="8">
    <format dxfId="2849">
      <pivotArea outline="0" collapsedLevelsAreSubtotals="1" fieldPosition="0"/>
    </format>
    <format dxfId="2848">
      <pivotArea outline="0" collapsedLevelsAreSubtotals="1" fieldPosition="0"/>
    </format>
    <format dxfId="2847">
      <pivotArea type="all" dataOnly="0" outline="0" fieldPosition="0"/>
    </format>
    <format dxfId="2846">
      <pivotArea outline="0" collapsedLevelsAreSubtotals="1" fieldPosition="0"/>
    </format>
    <format dxfId="2845">
      <pivotArea field="6" type="button" dataOnly="0" labelOnly="1" outline="0" axis="axisRow" fieldPosition="0"/>
    </format>
    <format dxfId="2844">
      <pivotArea dataOnly="0" labelOnly="1" fieldPosition="0">
        <references count="1">
          <reference field="6" count="0"/>
        </references>
      </pivotArea>
    </format>
    <format dxfId="2843">
      <pivotArea dataOnly="0" labelOnly="1" grandRow="1" outline="0" fieldPosition="0"/>
    </format>
    <format dxfId="2842">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B94629-0370-4D5D-8527-B6FD41C22577}" name="PivotTable1"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4:A35" firstHeaderRow="1" firstDataRow="1" firstDataCol="0"/>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dataField="1"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Cost" fld="10" baseField="0" baseItem="0" numFmtId="164"/>
  </dataFields>
  <formats count="4">
    <format dxfId="2853">
      <pivotArea outline="0" collapsedLevelsAreSubtotals="1" fieldPosition="0"/>
    </format>
    <format dxfId="2852">
      <pivotArea type="all" dataOnly="0" outline="0" fieldPosition="0"/>
    </format>
    <format dxfId="2851">
      <pivotArea outline="0" collapsedLevelsAreSubtotals="1" fieldPosition="0"/>
    </format>
    <format dxfId="28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441F6C-4B63-4441-822D-C2598DE9AD71}" name="PivotTable8"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40:B53" firstHeaderRow="1" firstDataRow="1" firstDataCol="1"/>
  <pivotFields count="13">
    <pivotField axis="axisRow"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dataField="1"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Total Cost" fld="10" baseField="0" baseItem="0" numFmtId="164"/>
  </dataFields>
  <formats count="7">
    <format dxfId="2860">
      <pivotArea type="all" dataOnly="0" outline="0" fieldPosition="0"/>
    </format>
    <format dxfId="2859">
      <pivotArea outline="0" collapsedLevelsAreSubtotals="1" fieldPosition="0"/>
    </format>
    <format dxfId="2858">
      <pivotArea field="0" type="button" dataOnly="0" labelOnly="1" outline="0" axis="axisRow" fieldPosition="0"/>
    </format>
    <format dxfId="2857">
      <pivotArea dataOnly="0" labelOnly="1" fieldPosition="0">
        <references count="1">
          <reference field="0" count="12">
            <x v="1"/>
            <x v="2"/>
            <x v="3"/>
            <x v="4"/>
            <x v="5"/>
            <x v="6"/>
            <x v="7"/>
            <x v="8"/>
            <x v="9"/>
            <x v="10"/>
            <x v="11"/>
            <x v="12"/>
          </reference>
        </references>
      </pivotArea>
    </format>
    <format dxfId="2856">
      <pivotArea dataOnly="0" labelOnly="1" grandRow="1" outline="0" fieldPosition="0"/>
    </format>
    <format dxfId="2855">
      <pivotArea dataOnly="0" labelOnly="1" outline="0" axis="axisValues" fieldPosition="0"/>
    </format>
    <format dxfId="285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1F788-AD7C-448A-B358-7370CE585451}" name="PivotTable7"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3:B32"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axis="axisRow"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dataField="1"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i>
    <i>
      <x v="1"/>
    </i>
    <i>
      <x v="2"/>
    </i>
    <i>
      <x v="3"/>
    </i>
    <i>
      <x v="4"/>
    </i>
    <i>
      <x v="5"/>
    </i>
    <i>
      <x v="6"/>
    </i>
    <i>
      <x v="7"/>
    </i>
    <i t="grand">
      <x/>
    </i>
  </rowItems>
  <colItems count="1">
    <i/>
  </colItems>
  <dataFields count="1">
    <dataField name="Sum of Total Cost" fld="10" baseField="0" baseItem="0" numFmtId="164"/>
  </dataFields>
  <formats count="7">
    <format dxfId="2867">
      <pivotArea outline="0" collapsedLevelsAreSubtotals="1" fieldPosition="0"/>
    </format>
    <format dxfId="2866">
      <pivotArea type="all" dataOnly="0" outline="0" fieldPosition="0"/>
    </format>
    <format dxfId="2865">
      <pivotArea outline="0" collapsedLevelsAreSubtotals="1" fieldPosition="0"/>
    </format>
    <format dxfId="2864">
      <pivotArea field="5" type="button" dataOnly="0" labelOnly="1" outline="0" axis="axisRow" fieldPosition="0"/>
    </format>
    <format dxfId="2863">
      <pivotArea dataOnly="0" labelOnly="1" fieldPosition="0">
        <references count="1">
          <reference field="5" count="0"/>
        </references>
      </pivotArea>
    </format>
    <format dxfId="2862">
      <pivotArea dataOnly="0" labelOnly="1" grandRow="1" outline="0" fieldPosition="0"/>
    </format>
    <format dxfId="2861">
      <pivotArea dataOnly="0" labelOnly="1" outline="0" axis="axisValues" fieldPosition="0"/>
    </format>
  </format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 format="9">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9E860F-450E-49F9-BDD6-FC2CD934D7FE}" name="PivotTable3"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E32"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axis="axisRow"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dataField="1" showAll="0"/>
    <pivotField showAll="0"/>
    <pivotField showAll="0"/>
    <pivotField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Quantity" fld="7" baseField="0" baseItem="0"/>
  </dataFields>
  <formats count="6">
    <format dxfId="2873">
      <pivotArea type="all" dataOnly="0" outline="0" fieldPosition="0"/>
    </format>
    <format dxfId="2872">
      <pivotArea outline="0" collapsedLevelsAreSubtotals="1" fieldPosition="0"/>
    </format>
    <format dxfId="2871">
      <pivotArea field="6" type="button" dataOnly="0" labelOnly="1" outline="0" axis="axisRow" fieldPosition="0"/>
    </format>
    <format dxfId="2870">
      <pivotArea dataOnly="0" labelOnly="1" fieldPosition="0">
        <references count="1">
          <reference field="6" count="0"/>
        </references>
      </pivotArea>
    </format>
    <format dxfId="2869">
      <pivotArea dataOnly="0" labelOnly="1" grandRow="1" outline="0" fieldPosition="0"/>
    </format>
    <format dxfId="28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D58D85-E1E9-4953-9DB1-8A7629A463FB}" name="PivotTable5"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4:D35" firstHeaderRow="1" firstDataRow="1" firstDataCol="0"/>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dataField="1" showAll="0"/>
    <pivotField showAll="0"/>
    <pivotField showAll="0"/>
    <pivotField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7" baseField="0" baseItem="0"/>
  </dataFields>
  <formats count="3">
    <format dxfId="2876">
      <pivotArea type="all" dataOnly="0" outline="0" fieldPosition="0"/>
    </format>
    <format dxfId="2875">
      <pivotArea outline="0" collapsedLevelsAreSubtotals="1" fieldPosition="0"/>
    </format>
    <format dxfId="28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E624F-0976-4E83-9DEF-87FCC9D2BA9A}" name="PivotTable6"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2:B21"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showAll="0">
      <items count="7">
        <item x="5"/>
        <item x="1"/>
        <item x="0"/>
        <item x="3"/>
        <item x="4"/>
        <item x="2"/>
        <item t="default"/>
      </items>
    </pivotField>
    <pivotField axis="axisRow" dataField="1"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i>
    <i>
      <x v="1"/>
    </i>
    <i>
      <x v="2"/>
    </i>
    <i>
      <x v="3"/>
    </i>
    <i>
      <x v="4"/>
    </i>
    <i>
      <x v="5"/>
    </i>
    <i>
      <x v="6"/>
    </i>
    <i>
      <x v="7"/>
    </i>
    <i t="grand">
      <x/>
    </i>
  </rowItems>
  <colItems count="1">
    <i/>
  </colItems>
  <dataFields count="1">
    <dataField name="Count of Rating" fld="5" subtotal="count" baseField="0" baseItem="0"/>
  </dataFields>
  <formats count="6">
    <format dxfId="2882">
      <pivotArea type="all" dataOnly="0" outline="0" fieldPosition="0"/>
    </format>
    <format dxfId="2881">
      <pivotArea outline="0" collapsedLevelsAreSubtotals="1" fieldPosition="0"/>
    </format>
    <format dxfId="2880">
      <pivotArea field="5" type="button" dataOnly="0" labelOnly="1" outline="0" axis="axisRow" fieldPosition="0"/>
    </format>
    <format dxfId="2879">
      <pivotArea dataOnly="0" labelOnly="1" fieldPosition="0">
        <references count="1">
          <reference field="5" count="0"/>
        </references>
      </pivotArea>
    </format>
    <format dxfId="2878">
      <pivotArea dataOnly="0" labelOnly="1" grandRow="1" outline="0" fieldPosition="0"/>
    </format>
    <format dxfId="2877">
      <pivotArea dataOnly="0" labelOnly="1" outline="0" axis="axisValues" fieldPosition="0"/>
    </format>
  </format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 format="9">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6C7722-BD70-431F-9E1D-16B0611D1488}" name="PivotTable2"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0"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items count="27">
        <item x="3"/>
        <item x="13"/>
        <item x="7"/>
        <item x="4"/>
        <item x="8"/>
        <item x="9"/>
        <item x="21"/>
        <item x="18"/>
        <item x="17"/>
        <item x="1"/>
        <item x="19"/>
        <item x="0"/>
        <item x="20"/>
        <item x="24"/>
        <item x="6"/>
        <item x="2"/>
        <item x="12"/>
        <item x="14"/>
        <item x="16"/>
        <item x="5"/>
        <item x="15"/>
        <item x="22"/>
        <item x="11"/>
        <item x="25"/>
        <item x="23"/>
        <item x="10"/>
        <item t="default"/>
      </items>
    </pivotField>
    <pivotField axis="axisRow"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pivotField showAll="0"/>
    <pivotField showAll="0"/>
    <pivotField dataField="1" numFmtId="43" showAll="0">
      <items count="24">
        <item x="2"/>
        <item x="1"/>
        <item x="0"/>
        <item x="3"/>
        <item x="5"/>
        <item x="4"/>
        <item x="7"/>
        <item x="6"/>
        <item x="8"/>
        <item x="9"/>
        <item x="10"/>
        <item x="11"/>
        <item x="12"/>
        <item x="13"/>
        <item x="14"/>
        <item x="15"/>
        <item x="16"/>
        <item x="17"/>
        <item x="18"/>
        <item x="19"/>
        <item x="20"/>
        <item x="21"/>
        <item x="22"/>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i>
    <i>
      <x v="1"/>
    </i>
    <i>
      <x v="2"/>
    </i>
    <i>
      <x v="3"/>
    </i>
    <i>
      <x v="4"/>
    </i>
    <i>
      <x v="5"/>
    </i>
    <i t="grand">
      <x/>
    </i>
  </rowItems>
  <colItems count="1">
    <i/>
  </colItems>
  <dataFields count="1">
    <dataField name="Sum of Total Cost" fld="10" baseField="0" baseItem="0" numFmtId="164"/>
  </dataFields>
  <formats count="7">
    <format dxfId="2889">
      <pivotArea outline="0" collapsedLevelsAreSubtotals="1" fieldPosition="0"/>
    </format>
    <format dxfId="2888">
      <pivotArea type="all" dataOnly="0" outline="0" fieldPosition="0"/>
    </format>
    <format dxfId="2887">
      <pivotArea outline="0" collapsedLevelsAreSubtotals="1" fieldPosition="0"/>
    </format>
    <format dxfId="2886">
      <pivotArea field="4" type="button" dataOnly="0" labelOnly="1" outline="0" axis="axisRow" fieldPosition="0"/>
    </format>
    <format dxfId="2885">
      <pivotArea dataOnly="0" labelOnly="1" fieldPosition="0">
        <references count="1">
          <reference field="4" count="0"/>
        </references>
      </pivotArea>
    </format>
    <format dxfId="2884">
      <pivotArea dataOnly="0" labelOnly="1" grandRow="1" outline="0" fieldPosition="0"/>
    </format>
    <format dxfId="2883">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1EE00AC-416D-4722-A590-702CE70555BB}" sourceName="Name">
  <pivotTables>
    <pivotTable tabId="15" name="PivotTable6"/>
    <pivotTable tabId="15" name="PivotTable2"/>
    <pivotTable tabId="15" name="PivotTable3"/>
    <pivotTable tabId="15" name="PivotTable4"/>
    <pivotTable tabId="15" name="PivotTable7"/>
    <pivotTable tabId="15" name="PivotTable1"/>
    <pivotTable tabId="15" name="PivotTable5"/>
    <pivotTable tabId="15" name="PivotTable8"/>
  </pivotTables>
  <data>
    <tabular pivotCacheId="1795081316">
      <items count="26">
        <i x="3" s="1"/>
        <i x="13" s="1"/>
        <i x="7" s="1"/>
        <i x="4" s="1"/>
        <i x="8" s="1"/>
        <i x="9" s="1"/>
        <i x="21" s="1"/>
        <i x="18" s="1"/>
        <i x="17" s="1"/>
        <i x="1" s="1"/>
        <i x="19" s="1"/>
        <i x="0" s="1"/>
        <i x="20" s="1"/>
        <i x="24" s="1"/>
        <i x="6" s="1"/>
        <i x="2" s="1"/>
        <i x="12" s="1"/>
        <i x="14" s="1"/>
        <i x="16" s="1"/>
        <i x="5" s="1"/>
        <i x="15" s="1"/>
        <i x="22" s="1"/>
        <i x="11" s="1"/>
        <i x="25" s="1"/>
        <i x="2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911A0C-97D9-493D-8FF1-797CC18053A1}" sourceName="Region">
  <pivotTables>
    <pivotTable tabId="15" name="PivotTable6"/>
    <pivotTable tabId="15" name="PivotTable2"/>
    <pivotTable tabId="15" name="PivotTable3"/>
    <pivotTable tabId="15" name="PivotTable4"/>
    <pivotTable tabId="15" name="PivotTable7"/>
    <pivotTable tabId="15" name="PivotTable1"/>
    <pivotTable tabId="15" name="PivotTable5"/>
    <pivotTable tabId="15" name="PivotTable8"/>
  </pivotTables>
  <data>
    <tabular pivotCacheId="1795081316">
      <items count="6">
        <i x="5" s="1"/>
        <i x="1" s="1"/>
        <i x="0"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5915CD0-DAD2-47F3-86FE-B4E63C2D7893}" sourceName="Rating">
  <pivotTables>
    <pivotTable tabId="15" name="PivotTable6"/>
    <pivotTable tabId="15" name="PivotTable2"/>
    <pivotTable tabId="15" name="PivotTable3"/>
    <pivotTable tabId="15" name="PivotTable4"/>
    <pivotTable tabId="15" name="PivotTable7"/>
    <pivotTable tabId="15" name="PivotTable1"/>
    <pivotTable tabId="15" name="PivotTable5"/>
    <pivotTable tabId="15" name="PivotTable8"/>
  </pivotTables>
  <data>
    <tabular pivotCacheId="1795081316">
      <items count="8">
        <i x="3" s="1"/>
        <i x="1" s="1"/>
        <i x="0" s="1"/>
        <i x="7" s="1"/>
        <i x="4" s="1"/>
        <i x="2"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CC404A-C770-4CE5-ABDE-C621FED5AE7C}" sourceName="Product">
  <pivotTables>
    <pivotTable tabId="15" name="PivotTable6"/>
    <pivotTable tabId="15" name="PivotTable2"/>
    <pivotTable tabId="15" name="PivotTable3"/>
    <pivotTable tabId="15" name="PivotTable4"/>
    <pivotTable tabId="15" name="PivotTable7"/>
    <pivotTable tabId="15" name="PivotTable1"/>
    <pivotTable tabId="15" name="PivotTable5"/>
    <pivotTable tabId="15" name="PivotTable8"/>
  </pivotTables>
  <data>
    <tabular pivotCacheId="1795081316">
      <items count="28">
        <i x="15" s="1"/>
        <i x="18" s="1"/>
        <i x="17" s="1"/>
        <i x="4" s="1"/>
        <i x="7" s="1"/>
        <i x="12" s="1"/>
        <i x="2" s="1"/>
        <i x="11" s="1"/>
        <i x="20" s="1"/>
        <i x="21" s="1"/>
        <i x="14" s="1"/>
        <i x="3" s="1"/>
        <i x="13" s="1"/>
        <i x="8" s="1"/>
        <i x="10" s="1"/>
        <i x="9" s="1"/>
        <i x="27" s="1"/>
        <i x="0" s="1"/>
        <i x="25" s="1"/>
        <i x="22" s="1"/>
        <i x="23" s="1"/>
        <i x="6" s="1"/>
        <i x="26" s="1"/>
        <i x="24" s="1"/>
        <i x="1" s="1"/>
        <i x="16" s="1"/>
        <i x="19"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 xr10:uid="{131DF892-66E1-48DF-84DC-C4E598B128A2}" sourceName="Total Cost">
  <pivotTables>
    <pivotTable tabId="15" name="PivotTable6"/>
    <pivotTable tabId="15" name="PivotTable2"/>
    <pivotTable tabId="15" name="PivotTable3"/>
    <pivotTable tabId="15" name="PivotTable4"/>
    <pivotTable tabId="15" name="PivotTable7"/>
    <pivotTable tabId="15" name="PivotTable1"/>
    <pivotTable tabId="15" name="PivotTable5"/>
    <pivotTable tabId="15" name="PivotTable8"/>
  </pivotTables>
  <data>
    <tabular pivotCacheId="1795081316">
      <items count="23">
        <i x="2" s="1"/>
        <i x="1" s="1"/>
        <i x="0" s="1"/>
        <i x="3" s="1"/>
        <i x="5" s="1"/>
        <i x="4" s="1"/>
        <i x="7" s="1"/>
        <i x="6" s="1"/>
        <i x="8" s="1"/>
        <i x="9" s="1"/>
        <i x="10" s="1"/>
        <i x="11" s="1"/>
        <i x="12" s="1"/>
        <i x="13" s="1"/>
        <i x="14" s="1"/>
        <i x="15" s="1"/>
        <i x="16" s="1"/>
        <i x="17" s="1"/>
        <i x="18" s="1"/>
        <i x="19" s="1"/>
        <i x="20" s="1"/>
        <i x="21" s="1"/>
        <i x="2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 xr10:uid="{EFF1E62E-92CC-4D11-94DB-69BBB9A3936E}" sourceName="Years_">
  <pivotTables>
    <pivotTable tabId="15" name="PivotTable2"/>
    <pivotTable tabId="15" name="PivotTable1"/>
    <pivotTable tabId="15" name="PivotTable3"/>
    <pivotTable tabId="15" name="PivotTable4"/>
    <pivotTable tabId="15" name="PivotTable5"/>
    <pivotTable tabId="15" name="PivotTable6"/>
    <pivotTable tabId="15" name="PivotTable7"/>
    <pivotTable tabId="15" name="PivotTable8"/>
  </pivotTables>
  <data>
    <tabular pivotCacheId="17950813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478B9504-EACA-4260-B33F-0ED2F2A35A28}" cache="Slicer_Name" caption="Name" rowHeight="241300"/>
  <slicer name="Region" xr10:uid="{264D1EBE-5A30-4956-AA2C-D15475D0547F}" cache="Slicer_Region" caption="Region" rowHeight="241300"/>
  <slicer name="Rating" xr10:uid="{20EBE793-2C4D-412A-9C91-6A7482FDE14C}" cache="Slicer_Rating" caption="Rating" rowHeight="241300"/>
  <slicer name="Product" xr10:uid="{58F98E4E-4053-4C98-A15E-BB95248C6922}" cache="Slicer_Product" caption="Product" rowHeight="241300"/>
  <slicer name="Total Cost" xr10:uid="{1CE986B4-B2A2-45B2-B1D2-95C021AFE10E}" cache="Slicer_Total_Cost" caption="Total Cost" rowHeight="241300"/>
  <slicer name="Years_" xr10:uid="{ED7407A5-A625-4F73-A850-85E538D785B8}" cache="Slicer_Years_" caption="Years_"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63B1744-3C11-47BF-B683-ADC24679EFD2}" cache="Slicer_Region" caption="Region" style="SlicerStyleLight6" rowHeight="241300"/>
  <slicer name="Product 1" xr10:uid="{5D130047-3771-47FB-B95C-C6977B48938D}" cache="Slicer_Product" caption="Product" style="SlicerStyleLight6" rowHeight="241300"/>
  <slicer name="Years_ 1" xr10:uid="{88143886-7007-46F0-8B74-64DBD4DBE0C0}" cache="Slicer_Years_" caption="Years_"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67BE1A-6009-46AA-8547-5AE614133FF2}" name="Table3" displayName="Table3" ref="A1:K29" totalsRowShown="0" headerRowDxfId="2891" dataDxfId="2890">
  <autoFilter ref="A1:K29" xr:uid="{360532C1-52D2-4F90-A162-99EC0007A80A}"/>
  <tableColumns count="11">
    <tableColumn id="1" xr3:uid="{7238F6AA-3545-4D66-9D47-8A162D35DA26}" name="Date" dataDxfId="2258"/>
    <tableColumn id="13" xr3:uid="{11E29D15-A4C8-4E57-8532-83083266797F}" name="Years_" dataDxfId="2257">
      <calculatedColumnFormula>YEAR(Table3[[#This Row],[Date]])</calculatedColumnFormula>
    </tableColumn>
    <tableColumn id="2" xr3:uid="{60611D3E-827B-4AEF-86E9-E53307E6B7D0}" name="ID" dataDxfId="2256"/>
    <tableColumn id="3" xr3:uid="{C9A1041D-008D-49DC-9128-5F8AA11F0BDF}" name="Name" dataDxfId="2255"/>
    <tableColumn id="4" xr3:uid="{85210129-41BC-4115-BD0C-69DAF3869898}" name="Region" dataDxfId="2254"/>
    <tableColumn id="5" xr3:uid="{AB1C50DB-8E77-4B6E-B1EC-B308B162007E}" name="Rating" dataDxfId="2253"/>
    <tableColumn id="6" xr3:uid="{E1126C6A-3AC7-4935-986B-FA38C5D0CF23}" name="Product" dataDxfId="2252"/>
    <tableColumn id="7" xr3:uid="{352C0BEA-CFDE-48DF-A83E-086ABD033F92}" name="Quantity" dataDxfId="2251"/>
    <tableColumn id="10" xr3:uid="{9FB3DADF-3B0D-4709-8E5A-8497383D2853}" name="Status" dataDxfId="2250">
      <calculatedColumnFormula>IF(Table3[[#This Row],[Quantity]]=0, "Invalid Qty", "Valid")</calculatedColumnFormula>
    </tableColumn>
    <tableColumn id="8" xr3:uid="{E486A99C-60B7-496C-A2F3-8EDD4E601FE9}" name="Price Per Unit" dataDxfId="2249" dataCellStyle="Comma"/>
    <tableColumn id="11" xr3:uid="{8AA22D03-E079-4922-A135-B8EEA4EDEB1D}" name="Total Cost" dataDxfId="2248" dataCellStyle="Comma">
      <calculatedColumnFormula>Table3[[#This Row],[Price Per Unit]]*Table3[[#This Row],[Quantity]]</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9445-17DE-4A17-9A0C-1D9F0D234EEC}">
  <sheetPr codeName="Sheet1"/>
  <dimension ref="A1:H32"/>
  <sheetViews>
    <sheetView workbookViewId="0">
      <selection activeCell="H10" sqref="H10"/>
    </sheetView>
  </sheetViews>
  <sheetFormatPr defaultRowHeight="14.5" x14ac:dyDescent="0.35"/>
  <cols>
    <col min="1" max="1" width="10.90625"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81640625" bestFit="1" customWidth="1"/>
    <col min="8" max="8" width="13.1796875" bestFit="1" customWidth="1"/>
  </cols>
  <sheetData>
    <row r="1" spans="1:8" x14ac:dyDescent="0.35">
      <c r="A1" s="1" t="s">
        <v>0</v>
      </c>
      <c r="B1" s="1" t="s">
        <v>1</v>
      </c>
      <c r="C1" s="1" t="s">
        <v>2</v>
      </c>
      <c r="D1" s="1" t="s">
        <v>3</v>
      </c>
      <c r="E1" s="1" t="s">
        <v>4</v>
      </c>
      <c r="F1" s="1" t="s">
        <v>5</v>
      </c>
      <c r="G1" s="1" t="s">
        <v>6</v>
      </c>
      <c r="H1" s="1" t="s">
        <v>7</v>
      </c>
    </row>
    <row r="2" spans="1:8" ht="10" customHeight="1" x14ac:dyDescent="0.35">
      <c r="A2" s="2">
        <v>44227</v>
      </c>
      <c r="B2" s="3">
        <v>1</v>
      </c>
      <c r="C2" s="3" t="s">
        <v>8</v>
      </c>
      <c r="D2" s="3" t="s">
        <v>9</v>
      </c>
      <c r="E2" s="3" t="s">
        <v>10</v>
      </c>
      <c r="F2" s="3" t="s">
        <v>11</v>
      </c>
      <c r="G2" s="3">
        <v>10</v>
      </c>
      <c r="H2" s="4">
        <v>20</v>
      </c>
    </row>
    <row r="3" spans="1:8" ht="10" customHeight="1" x14ac:dyDescent="0.35">
      <c r="A3" s="2">
        <v>44255</v>
      </c>
      <c r="B3" s="3">
        <v>2</v>
      </c>
      <c r="C3" s="3" t="s">
        <v>12</v>
      </c>
      <c r="D3" s="3" t="s">
        <v>13</v>
      </c>
      <c r="E3" s="3" t="s">
        <v>14</v>
      </c>
      <c r="F3" s="3" t="s">
        <v>15</v>
      </c>
      <c r="G3" s="3">
        <v>15</v>
      </c>
      <c r="H3" s="4">
        <v>10</v>
      </c>
    </row>
    <row r="4" spans="1:8" ht="10" customHeight="1" x14ac:dyDescent="0.35">
      <c r="A4" s="2">
        <v>44286</v>
      </c>
      <c r="B4" s="3">
        <v>3</v>
      </c>
      <c r="C4" s="3" t="s">
        <v>16</v>
      </c>
      <c r="D4" s="3" t="s">
        <v>17</v>
      </c>
      <c r="E4" s="3" t="s">
        <v>18</v>
      </c>
      <c r="F4" s="3" t="s">
        <v>19</v>
      </c>
      <c r="G4" s="3">
        <v>0</v>
      </c>
      <c r="H4" s="3" t="s">
        <v>20</v>
      </c>
    </row>
    <row r="5" spans="1:8" ht="10" customHeight="1" x14ac:dyDescent="0.35">
      <c r="A5" s="2">
        <v>44316</v>
      </c>
      <c r="B5" s="3">
        <v>4</v>
      </c>
      <c r="C5" s="3" t="s">
        <v>21</v>
      </c>
      <c r="D5" s="3" t="s">
        <v>22</v>
      </c>
      <c r="E5" s="3" t="s">
        <v>23</v>
      </c>
      <c r="F5" s="3" t="s">
        <v>24</v>
      </c>
      <c r="G5" s="3">
        <v>25</v>
      </c>
      <c r="H5" s="4">
        <v>10</v>
      </c>
    </row>
    <row r="6" spans="1:8" x14ac:dyDescent="0.35">
      <c r="A6" s="2">
        <v>44347</v>
      </c>
      <c r="B6" s="3">
        <v>5</v>
      </c>
      <c r="C6" s="3" t="s">
        <v>25</v>
      </c>
      <c r="D6" s="3" t="s">
        <v>13</v>
      </c>
      <c r="E6" s="3" t="s">
        <v>10</v>
      </c>
      <c r="F6" s="3" t="s">
        <v>26</v>
      </c>
      <c r="G6" s="3">
        <v>30</v>
      </c>
      <c r="H6" s="4">
        <v>16.670000000000002</v>
      </c>
    </row>
    <row r="7" spans="1:8" x14ac:dyDescent="0.35">
      <c r="A7" s="2">
        <v>44377</v>
      </c>
      <c r="B7" s="3">
        <v>6</v>
      </c>
      <c r="C7" s="3" t="s">
        <v>27</v>
      </c>
      <c r="D7" s="3"/>
      <c r="E7" s="3" t="s">
        <v>14</v>
      </c>
      <c r="F7" s="3" t="s">
        <v>28</v>
      </c>
      <c r="G7" s="3">
        <v>0</v>
      </c>
      <c r="H7" s="3" t="s">
        <v>20</v>
      </c>
    </row>
    <row r="8" spans="1:8" x14ac:dyDescent="0.35">
      <c r="A8" s="2">
        <v>44408</v>
      </c>
      <c r="B8" s="3">
        <v>7</v>
      </c>
      <c r="C8" s="3" t="s">
        <v>29</v>
      </c>
      <c r="D8" s="3" t="s">
        <v>17</v>
      </c>
      <c r="E8" s="3" t="s">
        <v>18</v>
      </c>
      <c r="F8" s="3" t="s">
        <v>30</v>
      </c>
      <c r="G8" s="3">
        <v>35</v>
      </c>
      <c r="H8" s="4">
        <v>10</v>
      </c>
    </row>
    <row r="9" spans="1:8" x14ac:dyDescent="0.35">
      <c r="A9" s="2">
        <v>44439</v>
      </c>
      <c r="B9" s="3">
        <v>8</v>
      </c>
      <c r="C9" s="3" t="s">
        <v>31</v>
      </c>
      <c r="D9" s="3" t="s">
        <v>22</v>
      </c>
      <c r="E9" s="3" t="s">
        <v>23</v>
      </c>
      <c r="F9" s="3" t="s">
        <v>32</v>
      </c>
      <c r="G9" s="3">
        <v>40</v>
      </c>
      <c r="H9" s="4">
        <v>15</v>
      </c>
    </row>
    <row r="10" spans="1:8" x14ac:dyDescent="0.35">
      <c r="A10" s="2">
        <v>44469</v>
      </c>
      <c r="B10" s="3">
        <v>9</v>
      </c>
      <c r="C10" s="3" t="s">
        <v>33</v>
      </c>
      <c r="D10" s="3" t="s">
        <v>13</v>
      </c>
      <c r="E10" s="3" t="s">
        <v>10</v>
      </c>
      <c r="F10" s="3" t="s">
        <v>34</v>
      </c>
      <c r="G10" s="3">
        <v>45</v>
      </c>
      <c r="H10" s="4">
        <v>12.22</v>
      </c>
    </row>
    <row r="11" spans="1:8" ht="10" customHeight="1" x14ac:dyDescent="0.35">
      <c r="A11" s="2">
        <v>44500</v>
      </c>
      <c r="B11" s="3">
        <v>10</v>
      </c>
      <c r="C11" s="3" t="s">
        <v>35</v>
      </c>
      <c r="D11" s="3" t="s">
        <v>9</v>
      </c>
      <c r="E11" s="3" t="s">
        <v>14</v>
      </c>
      <c r="F11" s="3" t="s">
        <v>36</v>
      </c>
      <c r="G11" s="3">
        <v>50</v>
      </c>
      <c r="H11" s="4">
        <v>14</v>
      </c>
    </row>
    <row r="12" spans="1:8" ht="10" customHeight="1" x14ac:dyDescent="0.35">
      <c r="A12" s="2">
        <v>44530</v>
      </c>
      <c r="B12" s="3">
        <v>11</v>
      </c>
      <c r="C12" s="3" t="s">
        <v>37</v>
      </c>
      <c r="D12" s="3" t="s">
        <v>17</v>
      </c>
      <c r="E12" s="3" t="s">
        <v>18</v>
      </c>
      <c r="F12" s="3" t="s">
        <v>38</v>
      </c>
      <c r="G12" s="3">
        <v>5</v>
      </c>
      <c r="H12" s="4">
        <v>160</v>
      </c>
    </row>
    <row r="13" spans="1:8" ht="10" customHeight="1" x14ac:dyDescent="0.35">
      <c r="A13" s="2">
        <v>44561</v>
      </c>
      <c r="B13" s="3">
        <v>12</v>
      </c>
      <c r="C13" s="3" t="s">
        <v>39</v>
      </c>
      <c r="D13" s="3" t="s">
        <v>22</v>
      </c>
      <c r="E13" s="3" t="s">
        <v>23</v>
      </c>
      <c r="F13" s="3" t="s">
        <v>40</v>
      </c>
      <c r="G13" s="3">
        <v>20</v>
      </c>
      <c r="H13" s="4">
        <v>45</v>
      </c>
    </row>
    <row r="14" spans="1:8" ht="20.149999999999999" customHeight="1" x14ac:dyDescent="0.35">
      <c r="A14" s="2">
        <v>44592</v>
      </c>
      <c r="B14" s="3">
        <v>13</v>
      </c>
      <c r="C14" s="3" t="s">
        <v>41</v>
      </c>
      <c r="D14" s="3" t="s">
        <v>13</v>
      </c>
      <c r="E14" s="3" t="s">
        <v>10</v>
      </c>
      <c r="F14" s="3" t="s">
        <v>42</v>
      </c>
      <c r="G14" s="3">
        <v>0</v>
      </c>
      <c r="H14" s="3" t="s">
        <v>20</v>
      </c>
    </row>
    <row r="15" spans="1:8" ht="20.149999999999999" customHeight="1" x14ac:dyDescent="0.35">
      <c r="A15" s="2">
        <v>44620</v>
      </c>
      <c r="B15" s="3">
        <v>14</v>
      </c>
      <c r="C15" s="3" t="s">
        <v>43</v>
      </c>
      <c r="D15" s="3"/>
      <c r="E15" s="3" t="s">
        <v>14</v>
      </c>
      <c r="F15" s="3" t="s">
        <v>44</v>
      </c>
      <c r="G15" s="3">
        <v>30</v>
      </c>
      <c r="H15" s="4">
        <v>36.67</v>
      </c>
    </row>
    <row r="16" spans="1:8" ht="20.149999999999999" customHeight="1" x14ac:dyDescent="0.35">
      <c r="A16" s="2">
        <v>44316</v>
      </c>
      <c r="B16" s="3">
        <v>4</v>
      </c>
      <c r="C16" s="3" t="s">
        <v>21</v>
      </c>
      <c r="D16" s="3" t="s">
        <v>22</v>
      </c>
      <c r="E16" s="3" t="s">
        <v>23</v>
      </c>
      <c r="F16" s="3" t="s">
        <v>24</v>
      </c>
      <c r="G16" s="3">
        <v>25</v>
      </c>
      <c r="H16" s="4">
        <v>10</v>
      </c>
    </row>
    <row r="17" spans="1:8" ht="20.149999999999999" customHeight="1" x14ac:dyDescent="0.35">
      <c r="A17" s="2">
        <v>44347</v>
      </c>
      <c r="B17" s="3">
        <v>5</v>
      </c>
      <c r="C17" s="3" t="s">
        <v>25</v>
      </c>
      <c r="D17" s="3" t="s">
        <v>13</v>
      </c>
      <c r="E17" s="3" t="s">
        <v>10</v>
      </c>
      <c r="F17" s="3" t="s">
        <v>26</v>
      </c>
      <c r="G17" s="3">
        <v>30</v>
      </c>
      <c r="H17" s="4">
        <v>16.670000000000002</v>
      </c>
    </row>
    <row r="18" spans="1:8" ht="20.149999999999999" customHeight="1" x14ac:dyDescent="0.35">
      <c r="A18" s="2">
        <v>44377</v>
      </c>
      <c r="B18" s="3">
        <v>6</v>
      </c>
      <c r="C18" s="3" t="s">
        <v>27</v>
      </c>
      <c r="D18" s="3"/>
      <c r="E18" s="3" t="s">
        <v>14</v>
      </c>
      <c r="F18" s="3" t="s">
        <v>28</v>
      </c>
      <c r="G18" s="3">
        <v>0</v>
      </c>
      <c r="H18" s="3" t="s">
        <v>20</v>
      </c>
    </row>
    <row r="19" spans="1:8" ht="20.149999999999999" customHeight="1" x14ac:dyDescent="0.35">
      <c r="A19" s="2">
        <v>44651</v>
      </c>
      <c r="B19" s="3">
        <v>15</v>
      </c>
      <c r="C19" s="3" t="s">
        <v>45</v>
      </c>
      <c r="D19" s="3" t="s">
        <v>17</v>
      </c>
      <c r="E19" s="3" t="s">
        <v>18</v>
      </c>
      <c r="F19" s="3" t="s">
        <v>46</v>
      </c>
      <c r="G19" s="3">
        <v>35</v>
      </c>
      <c r="H19" s="4">
        <v>34.29</v>
      </c>
    </row>
    <row r="20" spans="1:8" ht="20.149999999999999" customHeight="1" x14ac:dyDescent="0.35">
      <c r="A20" s="2">
        <v>44681</v>
      </c>
      <c r="B20" s="3">
        <v>16</v>
      </c>
      <c r="C20" s="3" t="s">
        <v>47</v>
      </c>
      <c r="D20" s="3"/>
      <c r="E20" s="3" t="s">
        <v>23</v>
      </c>
      <c r="F20" s="3" t="s">
        <v>48</v>
      </c>
      <c r="G20" s="3">
        <v>0</v>
      </c>
      <c r="H20" s="3" t="s">
        <v>20</v>
      </c>
    </row>
    <row r="21" spans="1:8" ht="20.149999999999999" customHeight="1" x14ac:dyDescent="0.35">
      <c r="A21" s="2">
        <v>44712</v>
      </c>
      <c r="B21" s="3">
        <v>17</v>
      </c>
      <c r="C21" s="3" t="s">
        <v>49</v>
      </c>
      <c r="D21" s="3" t="s">
        <v>13</v>
      </c>
      <c r="E21" s="3" t="s">
        <v>10</v>
      </c>
      <c r="F21" s="3" t="s">
        <v>50</v>
      </c>
      <c r="G21" s="3">
        <v>40</v>
      </c>
      <c r="H21" s="4">
        <v>35</v>
      </c>
    </row>
    <row r="22" spans="1:8" ht="20.149999999999999" customHeight="1" x14ac:dyDescent="0.35">
      <c r="A22" s="2">
        <v>44742</v>
      </c>
      <c r="B22" s="3">
        <v>18</v>
      </c>
      <c r="C22" s="3" t="s">
        <v>51</v>
      </c>
      <c r="D22" s="3" t="s">
        <v>9</v>
      </c>
      <c r="E22" s="3" t="s">
        <v>14</v>
      </c>
      <c r="F22" s="3" t="s">
        <v>52</v>
      </c>
      <c r="G22" s="3">
        <v>45</v>
      </c>
      <c r="H22" s="4">
        <v>33.33</v>
      </c>
    </row>
    <row r="23" spans="1:8" ht="20.149999999999999" customHeight="1" x14ac:dyDescent="0.35">
      <c r="A23" s="2">
        <v>44773</v>
      </c>
      <c r="B23" s="3">
        <v>19</v>
      </c>
      <c r="C23" s="3" t="s">
        <v>53</v>
      </c>
      <c r="D23" s="3" t="s">
        <v>17</v>
      </c>
      <c r="E23" s="3" t="s">
        <v>18</v>
      </c>
      <c r="F23" s="3" t="s">
        <v>54</v>
      </c>
      <c r="G23" s="3">
        <v>50</v>
      </c>
      <c r="H23" s="4">
        <v>32</v>
      </c>
    </row>
    <row r="24" spans="1:8" ht="20.149999999999999" customHeight="1" x14ac:dyDescent="0.35">
      <c r="A24" s="2">
        <v>44804</v>
      </c>
      <c r="B24" s="3">
        <v>20</v>
      </c>
      <c r="C24" s="3" t="s">
        <v>55</v>
      </c>
      <c r="D24" s="3" t="s">
        <v>22</v>
      </c>
      <c r="E24" s="3" t="s">
        <v>23</v>
      </c>
      <c r="F24" s="3" t="s">
        <v>56</v>
      </c>
      <c r="G24" s="3">
        <v>55</v>
      </c>
      <c r="H24" s="4">
        <v>30.91</v>
      </c>
    </row>
    <row r="25" spans="1:8" ht="20.149999999999999" customHeight="1" x14ac:dyDescent="0.35">
      <c r="A25" s="2">
        <v>44834</v>
      </c>
      <c r="B25" s="3">
        <v>21</v>
      </c>
      <c r="C25" s="3" t="s">
        <v>57</v>
      </c>
      <c r="D25" s="3" t="s">
        <v>13</v>
      </c>
      <c r="E25" s="3" t="s">
        <v>10</v>
      </c>
      <c r="F25" s="3" t="s">
        <v>58</v>
      </c>
      <c r="G25" s="3">
        <v>60</v>
      </c>
      <c r="H25" s="4">
        <v>30</v>
      </c>
    </row>
    <row r="26" spans="1:8" ht="20.149999999999999" customHeight="1" x14ac:dyDescent="0.35">
      <c r="A26" s="2">
        <v>44865</v>
      </c>
      <c r="B26" s="3">
        <v>22</v>
      </c>
      <c r="C26" s="3" t="s">
        <v>59</v>
      </c>
      <c r="D26" s="3" t="s">
        <v>9</v>
      </c>
      <c r="E26" s="3" t="s">
        <v>14</v>
      </c>
      <c r="F26" s="3" t="s">
        <v>60</v>
      </c>
      <c r="G26" s="3">
        <v>0</v>
      </c>
      <c r="H26" s="3" t="s">
        <v>20</v>
      </c>
    </row>
    <row r="27" spans="1:8" ht="20.149999999999999" customHeight="1" x14ac:dyDescent="0.35">
      <c r="A27" s="2">
        <v>44895</v>
      </c>
      <c r="B27" s="3">
        <v>23</v>
      </c>
      <c r="C27" s="3" t="s">
        <v>61</v>
      </c>
      <c r="D27" s="3" t="s">
        <v>17</v>
      </c>
      <c r="E27" s="3" t="s">
        <v>18</v>
      </c>
      <c r="F27" s="3" t="s">
        <v>62</v>
      </c>
      <c r="G27" s="3">
        <v>65</v>
      </c>
      <c r="H27" s="4">
        <v>30.77</v>
      </c>
    </row>
    <row r="28" spans="1:8" ht="20.149999999999999" customHeight="1" x14ac:dyDescent="0.35">
      <c r="A28" s="2">
        <v>44926</v>
      </c>
      <c r="B28" s="3">
        <v>24</v>
      </c>
      <c r="C28" s="3" t="s">
        <v>63</v>
      </c>
      <c r="D28" s="3" t="s">
        <v>22</v>
      </c>
      <c r="E28" s="3" t="s">
        <v>23</v>
      </c>
      <c r="F28" s="3" t="s">
        <v>64</v>
      </c>
      <c r="G28" s="3">
        <v>70</v>
      </c>
      <c r="H28" s="4">
        <v>30</v>
      </c>
    </row>
    <row r="29" spans="1:8" ht="20.149999999999999" customHeight="1" x14ac:dyDescent="0.35">
      <c r="A29" s="2">
        <v>44957</v>
      </c>
      <c r="B29" s="3">
        <v>25</v>
      </c>
      <c r="C29" s="3" t="s">
        <v>65</v>
      </c>
      <c r="D29" s="3" t="s">
        <v>66</v>
      </c>
      <c r="E29" s="3" t="s">
        <v>67</v>
      </c>
      <c r="F29" s="3" t="s">
        <v>68</v>
      </c>
      <c r="G29" s="3">
        <v>75</v>
      </c>
      <c r="H29" s="4">
        <v>29.33</v>
      </c>
    </row>
    <row r="30" spans="1:8" ht="20.149999999999999" customHeight="1" x14ac:dyDescent="0.35">
      <c r="A30" s="2">
        <v>44985</v>
      </c>
      <c r="B30" s="3">
        <v>26</v>
      </c>
      <c r="C30" s="3" t="s">
        <v>69</v>
      </c>
      <c r="D30" s="3" t="s">
        <v>66</v>
      </c>
      <c r="E30" s="3" t="s">
        <v>70</v>
      </c>
      <c r="F30" s="3" t="s">
        <v>71</v>
      </c>
      <c r="G30" s="3">
        <v>80</v>
      </c>
      <c r="H30" s="4">
        <v>28.75</v>
      </c>
    </row>
    <row r="31" spans="1:8" ht="20.149999999999999" customHeight="1" x14ac:dyDescent="0.35">
      <c r="A31" s="2">
        <v>45016</v>
      </c>
      <c r="B31" s="3">
        <v>27</v>
      </c>
      <c r="C31" s="3" t="s">
        <v>41</v>
      </c>
      <c r="D31" s="3" t="s">
        <v>13</v>
      </c>
      <c r="E31" s="3" t="s">
        <v>72</v>
      </c>
      <c r="F31" s="3" t="s">
        <v>73</v>
      </c>
      <c r="G31" s="3">
        <v>0</v>
      </c>
      <c r="H31" s="3" t="s">
        <v>20</v>
      </c>
    </row>
    <row r="32" spans="1:8" ht="20.149999999999999" customHeight="1" x14ac:dyDescent="0.35">
      <c r="A32" s="2">
        <v>45046</v>
      </c>
      <c r="B32" s="3">
        <v>28</v>
      </c>
      <c r="C32" s="3" t="s">
        <v>39</v>
      </c>
      <c r="D32" s="3" t="s">
        <v>22</v>
      </c>
      <c r="E32" s="3" t="s">
        <v>74</v>
      </c>
      <c r="F32" s="3" t="s">
        <v>75</v>
      </c>
      <c r="G32" s="3">
        <v>85</v>
      </c>
      <c r="H32" s="4">
        <v>29.41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F177-6480-491C-9F2B-396D75CDAB8D}">
  <sheetPr codeName="Sheet2"/>
  <dimension ref="A1:K29"/>
  <sheetViews>
    <sheetView workbookViewId="0">
      <selection activeCell="L12" sqref="L12"/>
    </sheetView>
  </sheetViews>
  <sheetFormatPr defaultRowHeight="14.5" x14ac:dyDescent="0.35"/>
  <cols>
    <col min="1" max="1" width="10.453125" bestFit="1" customWidth="1"/>
    <col min="2" max="2" width="8.6328125" bestFit="1" customWidth="1"/>
    <col min="3" max="3" width="4.90625" bestFit="1" customWidth="1"/>
    <col min="4" max="4" width="16.453125" bestFit="1" customWidth="1"/>
    <col min="5" max="5" width="8.81640625" bestFit="1" customWidth="1"/>
    <col min="6" max="6" width="8.36328125" bestFit="1" customWidth="1"/>
    <col min="7" max="7" width="21.81640625" bestFit="1" customWidth="1"/>
    <col min="8" max="8" width="10.453125" bestFit="1" customWidth="1"/>
    <col min="9" max="9" width="9.7265625" bestFit="1" customWidth="1"/>
    <col min="10" max="10" width="14.453125" bestFit="1" customWidth="1"/>
    <col min="11" max="11" width="11.54296875" bestFit="1" customWidth="1"/>
  </cols>
  <sheetData>
    <row r="1" spans="1:11" ht="15" thickBot="1" x14ac:dyDescent="0.4">
      <c r="A1" s="1" t="s">
        <v>0</v>
      </c>
      <c r="B1" s="1" t="s">
        <v>103</v>
      </c>
      <c r="C1" s="1" t="s">
        <v>1</v>
      </c>
      <c r="D1" s="1" t="s">
        <v>2</v>
      </c>
      <c r="E1" s="1" t="s">
        <v>3</v>
      </c>
      <c r="F1" s="1" t="s">
        <v>4</v>
      </c>
      <c r="G1" s="1" t="s">
        <v>5</v>
      </c>
      <c r="H1" s="1" t="s">
        <v>6</v>
      </c>
      <c r="I1" s="1" t="s">
        <v>81</v>
      </c>
      <c r="J1" s="1" t="s">
        <v>7</v>
      </c>
      <c r="K1" s="1" t="s">
        <v>82</v>
      </c>
    </row>
    <row r="2" spans="1:11" x14ac:dyDescent="0.35">
      <c r="A2" s="7">
        <v>44227</v>
      </c>
      <c r="B2" s="8">
        <f>YEAR(Table3[[#This Row],[Date]])</f>
        <v>2021</v>
      </c>
      <c r="C2" s="8">
        <v>1</v>
      </c>
      <c r="D2" s="8" t="s">
        <v>79</v>
      </c>
      <c r="E2" s="8" t="s">
        <v>9</v>
      </c>
      <c r="F2" s="8" t="s">
        <v>10</v>
      </c>
      <c r="G2" s="8" t="s">
        <v>11</v>
      </c>
      <c r="H2" s="8">
        <v>10</v>
      </c>
      <c r="I2" s="8" t="str">
        <f>IF(Table3[[#This Row],[Quantity]]=0, "Invalid Qty", "Valid")</f>
        <v>Valid</v>
      </c>
      <c r="J2" s="9">
        <v>20</v>
      </c>
      <c r="K2" s="10">
        <f>Table3[[#This Row],[Price Per Unit]]*Table3[[#This Row],[Quantity]]</f>
        <v>200</v>
      </c>
    </row>
    <row r="3" spans="1:11" x14ac:dyDescent="0.35">
      <c r="A3" s="11">
        <v>44255</v>
      </c>
      <c r="B3" s="5">
        <f>YEAR(Table3[[#This Row],[Date]])</f>
        <v>2021</v>
      </c>
      <c r="C3" s="5">
        <v>2</v>
      </c>
      <c r="D3" s="5" t="s">
        <v>12</v>
      </c>
      <c r="E3" s="5" t="s">
        <v>13</v>
      </c>
      <c r="F3" s="5" t="s">
        <v>14</v>
      </c>
      <c r="G3" s="5" t="s">
        <v>15</v>
      </c>
      <c r="H3" s="5">
        <v>15</v>
      </c>
      <c r="I3" s="5" t="str">
        <f>IF(Table3[[#This Row],[Quantity]]=0, "Invalid Qty", "Valid")</f>
        <v>Valid</v>
      </c>
      <c r="J3" s="6">
        <v>10</v>
      </c>
      <c r="K3" s="12">
        <f>Table3[[#This Row],[Price Per Unit]]*Table3[[#This Row],[Quantity]]</f>
        <v>150</v>
      </c>
    </row>
    <row r="4" spans="1:11" x14ac:dyDescent="0.35">
      <c r="A4" s="11">
        <v>44286</v>
      </c>
      <c r="B4" s="5">
        <f>YEAR(Table3[[#This Row],[Date]])</f>
        <v>2021</v>
      </c>
      <c r="C4" s="5">
        <v>3</v>
      </c>
      <c r="D4" s="5" t="s">
        <v>76</v>
      </c>
      <c r="E4" s="5" t="s">
        <v>17</v>
      </c>
      <c r="F4" s="5" t="s">
        <v>18</v>
      </c>
      <c r="G4" s="5" t="s">
        <v>19</v>
      </c>
      <c r="H4" s="5">
        <v>0</v>
      </c>
      <c r="I4" s="5" t="str">
        <f>IF(Table3[[#This Row],[Quantity]]=0, "Invalid Qty", "Valid")</f>
        <v>Invalid Qty</v>
      </c>
      <c r="J4" s="6"/>
      <c r="K4" s="12">
        <f>Table3[[#This Row],[Price Per Unit]]*Table3[[#This Row],[Quantity]]</f>
        <v>0</v>
      </c>
    </row>
    <row r="5" spans="1:11" x14ac:dyDescent="0.35">
      <c r="A5" s="11">
        <v>44316</v>
      </c>
      <c r="B5" s="5">
        <f>YEAR(Table3[[#This Row],[Date]])</f>
        <v>2021</v>
      </c>
      <c r="C5" s="5">
        <v>4</v>
      </c>
      <c r="D5" s="5" t="s">
        <v>77</v>
      </c>
      <c r="E5" s="5" t="s">
        <v>22</v>
      </c>
      <c r="F5" s="5" t="s">
        <v>23</v>
      </c>
      <c r="G5" s="5" t="s">
        <v>24</v>
      </c>
      <c r="H5" s="5">
        <v>25</v>
      </c>
      <c r="I5" s="5" t="str">
        <f>IF(Table3[[#This Row],[Quantity]]=0, "Invalid Qty", "Valid")</f>
        <v>Valid</v>
      </c>
      <c r="J5" s="6">
        <v>10</v>
      </c>
      <c r="K5" s="12">
        <f>Table3[[#This Row],[Price Per Unit]]*Table3[[#This Row],[Quantity]]</f>
        <v>250</v>
      </c>
    </row>
    <row r="6" spans="1:11" x14ac:dyDescent="0.35">
      <c r="A6" s="11">
        <v>44347</v>
      </c>
      <c r="B6" s="5">
        <f>YEAR(Table3[[#This Row],[Date]])</f>
        <v>2021</v>
      </c>
      <c r="C6" s="5">
        <v>5</v>
      </c>
      <c r="D6" s="5" t="s">
        <v>25</v>
      </c>
      <c r="E6" s="5" t="s">
        <v>13</v>
      </c>
      <c r="F6" s="5" t="s">
        <v>10</v>
      </c>
      <c r="G6" s="5" t="s">
        <v>26</v>
      </c>
      <c r="H6" s="5">
        <v>30</v>
      </c>
      <c r="I6" s="5" t="str">
        <f>IF(Table3[[#This Row],[Quantity]]=0, "Invalid Qty", "Valid")</f>
        <v>Valid</v>
      </c>
      <c r="J6" s="6">
        <v>16.670000000000002</v>
      </c>
      <c r="K6" s="12">
        <f>Table3[[#This Row],[Price Per Unit]]*Table3[[#This Row],[Quantity]]</f>
        <v>500.1</v>
      </c>
    </row>
    <row r="7" spans="1:11" x14ac:dyDescent="0.35">
      <c r="A7" s="11">
        <v>44377</v>
      </c>
      <c r="B7" s="5">
        <f>YEAR(Table3[[#This Row],[Date]])</f>
        <v>2021</v>
      </c>
      <c r="C7" s="5">
        <v>6</v>
      </c>
      <c r="D7" s="5" t="s">
        <v>78</v>
      </c>
      <c r="E7" s="5" t="s">
        <v>80</v>
      </c>
      <c r="F7" s="5" t="s">
        <v>14</v>
      </c>
      <c r="G7" s="5" t="s">
        <v>28</v>
      </c>
      <c r="H7" s="5">
        <v>0</v>
      </c>
      <c r="I7" s="5" t="str">
        <f>IF(Table3[[#This Row],[Quantity]]=0, "Invalid Qty", "Valid")</f>
        <v>Invalid Qty</v>
      </c>
      <c r="J7" s="6"/>
      <c r="K7" s="12">
        <f>Table3[[#This Row],[Price Per Unit]]*Table3[[#This Row],[Quantity]]</f>
        <v>0</v>
      </c>
    </row>
    <row r="8" spans="1:11" x14ac:dyDescent="0.35">
      <c r="A8" s="11">
        <v>44408</v>
      </c>
      <c r="B8" s="5">
        <f>YEAR(Table3[[#This Row],[Date]])</f>
        <v>2021</v>
      </c>
      <c r="C8" s="5">
        <v>7</v>
      </c>
      <c r="D8" s="5" t="s">
        <v>29</v>
      </c>
      <c r="E8" s="5" t="s">
        <v>17</v>
      </c>
      <c r="F8" s="5" t="s">
        <v>18</v>
      </c>
      <c r="G8" s="5" t="s">
        <v>30</v>
      </c>
      <c r="H8" s="5">
        <v>35</v>
      </c>
      <c r="I8" s="5" t="str">
        <f>IF(Table3[[#This Row],[Quantity]]=0, "Invalid Qty", "Valid")</f>
        <v>Valid</v>
      </c>
      <c r="J8" s="6">
        <v>10</v>
      </c>
      <c r="K8" s="12">
        <f>Table3[[#This Row],[Price Per Unit]]*Table3[[#This Row],[Quantity]]</f>
        <v>350</v>
      </c>
    </row>
    <row r="9" spans="1:11" x14ac:dyDescent="0.35">
      <c r="A9" s="11">
        <v>44439</v>
      </c>
      <c r="B9" s="5">
        <f>YEAR(Table3[[#This Row],[Date]])</f>
        <v>2021</v>
      </c>
      <c r="C9" s="5">
        <v>8</v>
      </c>
      <c r="D9" s="5" t="s">
        <v>31</v>
      </c>
      <c r="E9" s="5" t="s">
        <v>22</v>
      </c>
      <c r="F9" s="5" t="s">
        <v>23</v>
      </c>
      <c r="G9" s="5" t="s">
        <v>32</v>
      </c>
      <c r="H9" s="5">
        <v>40</v>
      </c>
      <c r="I9" s="5" t="str">
        <f>IF(Table3[[#This Row],[Quantity]]=0, "Invalid Qty", "Valid")</f>
        <v>Valid</v>
      </c>
      <c r="J9" s="6">
        <v>15</v>
      </c>
      <c r="K9" s="12">
        <f>Table3[[#This Row],[Price Per Unit]]*Table3[[#This Row],[Quantity]]</f>
        <v>600</v>
      </c>
    </row>
    <row r="10" spans="1:11" x14ac:dyDescent="0.35">
      <c r="A10" s="11">
        <v>44469</v>
      </c>
      <c r="B10" s="5">
        <f>YEAR(Table3[[#This Row],[Date]])</f>
        <v>2021</v>
      </c>
      <c r="C10" s="5">
        <v>9</v>
      </c>
      <c r="D10" s="5" t="s">
        <v>33</v>
      </c>
      <c r="E10" s="5" t="s">
        <v>13</v>
      </c>
      <c r="F10" s="5" t="s">
        <v>10</v>
      </c>
      <c r="G10" s="5" t="s">
        <v>34</v>
      </c>
      <c r="H10" s="5">
        <v>45</v>
      </c>
      <c r="I10" s="5" t="str">
        <f>IF(Table3[[#This Row],[Quantity]]=0, "Invalid Qty", "Valid")</f>
        <v>Valid</v>
      </c>
      <c r="J10" s="6">
        <v>12.22</v>
      </c>
      <c r="K10" s="12">
        <f>Table3[[#This Row],[Price Per Unit]]*Table3[[#This Row],[Quantity]]</f>
        <v>549.9</v>
      </c>
    </row>
    <row r="11" spans="1:11" x14ac:dyDescent="0.35">
      <c r="A11" s="11">
        <v>44500</v>
      </c>
      <c r="B11" s="5">
        <f>YEAR(Table3[[#This Row],[Date]])</f>
        <v>2021</v>
      </c>
      <c r="C11" s="5">
        <v>10</v>
      </c>
      <c r="D11" s="5" t="s">
        <v>35</v>
      </c>
      <c r="E11" s="5" t="s">
        <v>9</v>
      </c>
      <c r="F11" s="5" t="s">
        <v>14</v>
      </c>
      <c r="G11" s="5" t="s">
        <v>36</v>
      </c>
      <c r="H11" s="5">
        <v>50</v>
      </c>
      <c r="I11" s="5" t="str">
        <f>IF(Table3[[#This Row],[Quantity]]=0, "Invalid Qty", "Valid")</f>
        <v>Valid</v>
      </c>
      <c r="J11" s="6">
        <v>14</v>
      </c>
      <c r="K11" s="12">
        <f>Table3[[#This Row],[Price Per Unit]]*Table3[[#This Row],[Quantity]]</f>
        <v>700</v>
      </c>
    </row>
    <row r="12" spans="1:11" x14ac:dyDescent="0.35">
      <c r="A12" s="11">
        <v>44530</v>
      </c>
      <c r="B12" s="5">
        <f>YEAR(Table3[[#This Row],[Date]])</f>
        <v>2021</v>
      </c>
      <c r="C12" s="5">
        <v>11</v>
      </c>
      <c r="D12" s="5" t="s">
        <v>37</v>
      </c>
      <c r="E12" s="5" t="s">
        <v>17</v>
      </c>
      <c r="F12" s="5" t="s">
        <v>18</v>
      </c>
      <c r="G12" s="5" t="s">
        <v>38</v>
      </c>
      <c r="H12" s="5">
        <v>5</v>
      </c>
      <c r="I12" s="5" t="str">
        <f>IF(Table3[[#This Row],[Quantity]]=0, "Invalid Qty", "Valid")</f>
        <v>Valid</v>
      </c>
      <c r="J12" s="6">
        <v>160</v>
      </c>
      <c r="K12" s="12">
        <f>Table3[[#This Row],[Price Per Unit]]*Table3[[#This Row],[Quantity]]</f>
        <v>800</v>
      </c>
    </row>
    <row r="13" spans="1:11" x14ac:dyDescent="0.35">
      <c r="A13" s="11">
        <v>44561</v>
      </c>
      <c r="B13" s="5">
        <f>YEAR(Table3[[#This Row],[Date]])</f>
        <v>2021</v>
      </c>
      <c r="C13" s="5">
        <v>12</v>
      </c>
      <c r="D13" s="5" t="s">
        <v>39</v>
      </c>
      <c r="E13" s="5" t="s">
        <v>22</v>
      </c>
      <c r="F13" s="5" t="s">
        <v>23</v>
      </c>
      <c r="G13" s="5" t="s">
        <v>40</v>
      </c>
      <c r="H13" s="5">
        <v>20</v>
      </c>
      <c r="I13" s="5" t="str">
        <f>IF(Table3[[#This Row],[Quantity]]=0, "Invalid Qty", "Valid")</f>
        <v>Valid</v>
      </c>
      <c r="J13" s="6">
        <v>45</v>
      </c>
      <c r="K13" s="12">
        <f>Table3[[#This Row],[Price Per Unit]]*Table3[[#This Row],[Quantity]]</f>
        <v>900</v>
      </c>
    </row>
    <row r="14" spans="1:11" x14ac:dyDescent="0.35">
      <c r="A14" s="11">
        <v>44592</v>
      </c>
      <c r="B14" s="5">
        <f>YEAR(Table3[[#This Row],[Date]])</f>
        <v>2022</v>
      </c>
      <c r="C14" s="5">
        <v>13</v>
      </c>
      <c r="D14" s="5" t="s">
        <v>41</v>
      </c>
      <c r="E14" s="5" t="s">
        <v>13</v>
      </c>
      <c r="F14" s="5" t="s">
        <v>10</v>
      </c>
      <c r="G14" s="5" t="s">
        <v>42</v>
      </c>
      <c r="H14" s="5">
        <v>0</v>
      </c>
      <c r="I14" s="5" t="str">
        <f>IF(Table3[[#This Row],[Quantity]]=0, "Invalid Qty", "Valid")</f>
        <v>Invalid Qty</v>
      </c>
      <c r="J14" s="6"/>
      <c r="K14" s="12">
        <f>Table3[[#This Row],[Price Per Unit]]*Table3[[#This Row],[Quantity]]</f>
        <v>0</v>
      </c>
    </row>
    <row r="15" spans="1:11" x14ac:dyDescent="0.35">
      <c r="A15" s="11">
        <v>44620</v>
      </c>
      <c r="B15" s="5">
        <f>YEAR(Table3[[#This Row],[Date]])</f>
        <v>2022</v>
      </c>
      <c r="C15" s="5">
        <v>14</v>
      </c>
      <c r="D15" s="5" t="s">
        <v>43</v>
      </c>
      <c r="E15" s="5" t="s">
        <v>80</v>
      </c>
      <c r="F15" s="5" t="s">
        <v>14</v>
      </c>
      <c r="G15" s="5" t="s">
        <v>44</v>
      </c>
      <c r="H15" s="5">
        <v>30</v>
      </c>
      <c r="I15" s="5" t="str">
        <f>IF(Table3[[#This Row],[Quantity]]=0, "Invalid Qty", "Valid")</f>
        <v>Valid</v>
      </c>
      <c r="J15" s="6">
        <v>36.67</v>
      </c>
      <c r="K15" s="12">
        <f>Table3[[#This Row],[Price Per Unit]]*Table3[[#This Row],[Quantity]]</f>
        <v>1100.1000000000001</v>
      </c>
    </row>
    <row r="16" spans="1:11" x14ac:dyDescent="0.35">
      <c r="A16" s="11">
        <v>44651</v>
      </c>
      <c r="B16" s="5">
        <f>YEAR(Table3[[#This Row],[Date]])</f>
        <v>2022</v>
      </c>
      <c r="C16" s="5">
        <v>15</v>
      </c>
      <c r="D16" s="5" t="s">
        <v>45</v>
      </c>
      <c r="E16" s="5" t="s">
        <v>17</v>
      </c>
      <c r="F16" s="5" t="s">
        <v>18</v>
      </c>
      <c r="G16" s="5" t="s">
        <v>46</v>
      </c>
      <c r="H16" s="5">
        <v>35</v>
      </c>
      <c r="I16" s="5" t="str">
        <f>IF(Table3[[#This Row],[Quantity]]=0, "Invalid Qty", "Valid")</f>
        <v>Valid</v>
      </c>
      <c r="J16" s="6">
        <v>34.29</v>
      </c>
      <c r="K16" s="12">
        <f>Table3[[#This Row],[Price Per Unit]]*Table3[[#This Row],[Quantity]]</f>
        <v>1200.1499999999999</v>
      </c>
    </row>
    <row r="17" spans="1:11" x14ac:dyDescent="0.35">
      <c r="A17" s="11">
        <v>44681</v>
      </c>
      <c r="B17" s="5">
        <f>YEAR(Table3[[#This Row],[Date]])</f>
        <v>2022</v>
      </c>
      <c r="C17" s="5">
        <v>16</v>
      </c>
      <c r="D17" s="5" t="s">
        <v>47</v>
      </c>
      <c r="E17" s="5" t="s">
        <v>80</v>
      </c>
      <c r="F17" s="5" t="s">
        <v>23</v>
      </c>
      <c r="G17" s="5" t="s">
        <v>48</v>
      </c>
      <c r="H17" s="5">
        <v>0</v>
      </c>
      <c r="I17" s="5" t="str">
        <f>IF(Table3[[#This Row],[Quantity]]=0, "Invalid Qty", "Valid")</f>
        <v>Invalid Qty</v>
      </c>
      <c r="J17" s="6"/>
      <c r="K17" s="12">
        <f>Table3[[#This Row],[Price Per Unit]]*Table3[[#This Row],[Quantity]]</f>
        <v>0</v>
      </c>
    </row>
    <row r="18" spans="1:11" x14ac:dyDescent="0.35">
      <c r="A18" s="11">
        <v>44712</v>
      </c>
      <c r="B18" s="5">
        <f>YEAR(Table3[[#This Row],[Date]])</f>
        <v>2022</v>
      </c>
      <c r="C18" s="5">
        <v>17</v>
      </c>
      <c r="D18" s="5" t="s">
        <v>49</v>
      </c>
      <c r="E18" s="5" t="s">
        <v>13</v>
      </c>
      <c r="F18" s="5" t="s">
        <v>10</v>
      </c>
      <c r="G18" s="5" t="s">
        <v>50</v>
      </c>
      <c r="H18" s="5">
        <v>40</v>
      </c>
      <c r="I18" s="5" t="str">
        <f>IF(Table3[[#This Row],[Quantity]]=0, "Invalid Qty", "Valid")</f>
        <v>Valid</v>
      </c>
      <c r="J18" s="6">
        <v>35</v>
      </c>
      <c r="K18" s="12">
        <f>Table3[[#This Row],[Price Per Unit]]*Table3[[#This Row],[Quantity]]</f>
        <v>1400</v>
      </c>
    </row>
    <row r="19" spans="1:11" x14ac:dyDescent="0.35">
      <c r="A19" s="11">
        <v>44742</v>
      </c>
      <c r="B19" s="5">
        <f>YEAR(Table3[[#This Row],[Date]])</f>
        <v>2022</v>
      </c>
      <c r="C19" s="5">
        <v>18</v>
      </c>
      <c r="D19" s="5" t="s">
        <v>51</v>
      </c>
      <c r="E19" s="5" t="s">
        <v>9</v>
      </c>
      <c r="F19" s="5" t="s">
        <v>14</v>
      </c>
      <c r="G19" s="5" t="s">
        <v>52</v>
      </c>
      <c r="H19" s="5">
        <v>45</v>
      </c>
      <c r="I19" s="5" t="str">
        <f>IF(Table3[[#This Row],[Quantity]]=0, "Invalid Qty", "Valid")</f>
        <v>Valid</v>
      </c>
      <c r="J19" s="6">
        <v>33.33</v>
      </c>
      <c r="K19" s="12">
        <f>Table3[[#This Row],[Price Per Unit]]*Table3[[#This Row],[Quantity]]</f>
        <v>1499.85</v>
      </c>
    </row>
    <row r="20" spans="1:11" x14ac:dyDescent="0.35">
      <c r="A20" s="11">
        <v>44773</v>
      </c>
      <c r="B20" s="5">
        <f>YEAR(Table3[[#This Row],[Date]])</f>
        <v>2022</v>
      </c>
      <c r="C20" s="5">
        <v>19</v>
      </c>
      <c r="D20" s="5" t="s">
        <v>53</v>
      </c>
      <c r="E20" s="5" t="s">
        <v>17</v>
      </c>
      <c r="F20" s="5" t="s">
        <v>18</v>
      </c>
      <c r="G20" s="5" t="s">
        <v>54</v>
      </c>
      <c r="H20" s="5">
        <v>50</v>
      </c>
      <c r="I20" s="5" t="str">
        <f>IF(Table3[[#This Row],[Quantity]]=0, "Invalid Qty", "Valid")</f>
        <v>Valid</v>
      </c>
      <c r="J20" s="6">
        <v>32</v>
      </c>
      <c r="K20" s="12">
        <f>Table3[[#This Row],[Price Per Unit]]*Table3[[#This Row],[Quantity]]</f>
        <v>1600</v>
      </c>
    </row>
    <row r="21" spans="1:11" x14ac:dyDescent="0.35">
      <c r="A21" s="11">
        <v>44804</v>
      </c>
      <c r="B21" s="5">
        <f>YEAR(Table3[[#This Row],[Date]])</f>
        <v>2022</v>
      </c>
      <c r="C21" s="5">
        <v>20</v>
      </c>
      <c r="D21" s="5" t="s">
        <v>55</v>
      </c>
      <c r="E21" s="5" t="s">
        <v>22</v>
      </c>
      <c r="F21" s="5" t="s">
        <v>23</v>
      </c>
      <c r="G21" s="5" t="s">
        <v>56</v>
      </c>
      <c r="H21" s="5">
        <v>55</v>
      </c>
      <c r="I21" s="5" t="str">
        <f>IF(Table3[[#This Row],[Quantity]]=0, "Invalid Qty", "Valid")</f>
        <v>Valid</v>
      </c>
      <c r="J21" s="6">
        <v>30.91</v>
      </c>
      <c r="K21" s="12">
        <f>Table3[[#This Row],[Price Per Unit]]*Table3[[#This Row],[Quantity]]</f>
        <v>1700.05</v>
      </c>
    </row>
    <row r="22" spans="1:11" x14ac:dyDescent="0.35">
      <c r="A22" s="11">
        <v>44834</v>
      </c>
      <c r="B22" s="5">
        <f>YEAR(Table3[[#This Row],[Date]])</f>
        <v>2022</v>
      </c>
      <c r="C22" s="5">
        <v>21</v>
      </c>
      <c r="D22" s="5" t="s">
        <v>57</v>
      </c>
      <c r="E22" s="5" t="s">
        <v>13</v>
      </c>
      <c r="F22" s="5" t="s">
        <v>10</v>
      </c>
      <c r="G22" s="5" t="s">
        <v>58</v>
      </c>
      <c r="H22" s="5">
        <v>60</v>
      </c>
      <c r="I22" s="5" t="str">
        <f>IF(Table3[[#This Row],[Quantity]]=0, "Invalid Qty", "Valid")</f>
        <v>Valid</v>
      </c>
      <c r="J22" s="6">
        <v>30</v>
      </c>
      <c r="K22" s="12">
        <f>Table3[[#This Row],[Price Per Unit]]*Table3[[#This Row],[Quantity]]</f>
        <v>1800</v>
      </c>
    </row>
    <row r="23" spans="1:11" x14ac:dyDescent="0.35">
      <c r="A23" s="11">
        <v>44865</v>
      </c>
      <c r="B23" s="5">
        <f>YEAR(Table3[[#This Row],[Date]])</f>
        <v>2022</v>
      </c>
      <c r="C23" s="5">
        <v>22</v>
      </c>
      <c r="D23" s="5" t="s">
        <v>59</v>
      </c>
      <c r="E23" s="5" t="s">
        <v>9</v>
      </c>
      <c r="F23" s="5" t="s">
        <v>14</v>
      </c>
      <c r="G23" s="5" t="s">
        <v>60</v>
      </c>
      <c r="H23" s="5">
        <v>0</v>
      </c>
      <c r="I23" s="5" t="str">
        <f>IF(Table3[[#This Row],[Quantity]]=0, "Invalid Qty", "Valid")</f>
        <v>Invalid Qty</v>
      </c>
      <c r="J23" s="6"/>
      <c r="K23" s="12">
        <f>Table3[[#This Row],[Price Per Unit]]*Table3[[#This Row],[Quantity]]</f>
        <v>0</v>
      </c>
    </row>
    <row r="24" spans="1:11" x14ac:dyDescent="0.35">
      <c r="A24" s="11">
        <v>44895</v>
      </c>
      <c r="B24" s="5">
        <f>YEAR(Table3[[#This Row],[Date]])</f>
        <v>2022</v>
      </c>
      <c r="C24" s="5">
        <v>23</v>
      </c>
      <c r="D24" s="5" t="s">
        <v>61</v>
      </c>
      <c r="E24" s="5" t="s">
        <v>17</v>
      </c>
      <c r="F24" s="5" t="s">
        <v>18</v>
      </c>
      <c r="G24" s="5" t="s">
        <v>62</v>
      </c>
      <c r="H24" s="5">
        <v>65</v>
      </c>
      <c r="I24" s="5" t="str">
        <f>IF(Table3[[#This Row],[Quantity]]=0, "Invalid Qty", "Valid")</f>
        <v>Valid</v>
      </c>
      <c r="J24" s="6">
        <v>30.77</v>
      </c>
      <c r="K24" s="12">
        <f>Table3[[#This Row],[Price Per Unit]]*Table3[[#This Row],[Quantity]]</f>
        <v>2000.05</v>
      </c>
    </row>
    <row r="25" spans="1:11" x14ac:dyDescent="0.35">
      <c r="A25" s="11">
        <v>44926</v>
      </c>
      <c r="B25" s="5">
        <f>YEAR(Table3[[#This Row],[Date]])</f>
        <v>2022</v>
      </c>
      <c r="C25" s="5">
        <v>24</v>
      </c>
      <c r="D25" s="5" t="s">
        <v>63</v>
      </c>
      <c r="E25" s="5" t="s">
        <v>22</v>
      </c>
      <c r="F25" s="5" t="s">
        <v>23</v>
      </c>
      <c r="G25" s="5" t="s">
        <v>64</v>
      </c>
      <c r="H25" s="5">
        <v>70</v>
      </c>
      <c r="I25" s="5" t="str">
        <f>IF(Table3[[#This Row],[Quantity]]=0, "Invalid Qty", "Valid")</f>
        <v>Valid</v>
      </c>
      <c r="J25" s="6">
        <v>30</v>
      </c>
      <c r="K25" s="12">
        <f>Table3[[#This Row],[Price Per Unit]]*Table3[[#This Row],[Quantity]]</f>
        <v>2100</v>
      </c>
    </row>
    <row r="26" spans="1:11" x14ac:dyDescent="0.35">
      <c r="A26" s="11">
        <v>44957</v>
      </c>
      <c r="B26" s="5">
        <f>YEAR(Table3[[#This Row],[Date]])</f>
        <v>2023</v>
      </c>
      <c r="C26" s="5">
        <v>25</v>
      </c>
      <c r="D26" s="5" t="s">
        <v>65</v>
      </c>
      <c r="E26" s="5" t="s">
        <v>66</v>
      </c>
      <c r="F26" s="5" t="s">
        <v>67</v>
      </c>
      <c r="G26" s="5" t="s">
        <v>68</v>
      </c>
      <c r="H26" s="5">
        <v>75</v>
      </c>
      <c r="I26" s="5" t="str">
        <f>IF(Table3[[#This Row],[Quantity]]=0, "Invalid Qty", "Valid")</f>
        <v>Valid</v>
      </c>
      <c r="J26" s="6">
        <v>29.33</v>
      </c>
      <c r="K26" s="12">
        <f>Table3[[#This Row],[Price Per Unit]]*Table3[[#This Row],[Quantity]]</f>
        <v>2199.75</v>
      </c>
    </row>
    <row r="27" spans="1:11" x14ac:dyDescent="0.35">
      <c r="A27" s="11">
        <v>44985</v>
      </c>
      <c r="B27" s="5">
        <f>YEAR(Table3[[#This Row],[Date]])</f>
        <v>2023</v>
      </c>
      <c r="C27" s="5">
        <v>26</v>
      </c>
      <c r="D27" s="5" t="s">
        <v>69</v>
      </c>
      <c r="E27" s="5" t="s">
        <v>66</v>
      </c>
      <c r="F27" s="5" t="s">
        <v>70</v>
      </c>
      <c r="G27" s="5" t="s">
        <v>71</v>
      </c>
      <c r="H27" s="5">
        <v>80</v>
      </c>
      <c r="I27" s="5" t="str">
        <f>IF(Table3[[#This Row],[Quantity]]=0, "Invalid Qty", "Valid")</f>
        <v>Valid</v>
      </c>
      <c r="J27" s="6">
        <v>28.75</v>
      </c>
      <c r="K27" s="12">
        <f>Table3[[#This Row],[Price Per Unit]]*Table3[[#This Row],[Quantity]]</f>
        <v>2300</v>
      </c>
    </row>
    <row r="28" spans="1:11" x14ac:dyDescent="0.35">
      <c r="A28" s="11">
        <v>45016</v>
      </c>
      <c r="B28" s="5">
        <f>YEAR(Table3[[#This Row],[Date]])</f>
        <v>2023</v>
      </c>
      <c r="C28" s="5">
        <v>27</v>
      </c>
      <c r="D28" s="5" t="s">
        <v>41</v>
      </c>
      <c r="E28" s="5" t="s">
        <v>13</v>
      </c>
      <c r="F28" s="5" t="s">
        <v>72</v>
      </c>
      <c r="G28" s="5" t="s">
        <v>73</v>
      </c>
      <c r="H28" s="5">
        <v>0</v>
      </c>
      <c r="I28" s="5" t="str">
        <f>IF(Table3[[#This Row],[Quantity]]=0, "Invalid Qty", "Valid")</f>
        <v>Invalid Qty</v>
      </c>
      <c r="J28" s="6"/>
      <c r="K28" s="12">
        <f>Table3[[#This Row],[Price Per Unit]]*Table3[[#This Row],[Quantity]]</f>
        <v>0</v>
      </c>
    </row>
    <row r="29" spans="1:11" ht="15" thickBot="1" x14ac:dyDescent="0.4">
      <c r="A29" s="13">
        <v>45046</v>
      </c>
      <c r="B29" s="14">
        <f>YEAR(Table3[[#This Row],[Date]])</f>
        <v>2023</v>
      </c>
      <c r="C29" s="14">
        <v>28</v>
      </c>
      <c r="D29" s="14" t="s">
        <v>39</v>
      </c>
      <c r="E29" s="14" t="s">
        <v>22</v>
      </c>
      <c r="F29" s="14" t="s">
        <v>74</v>
      </c>
      <c r="G29" s="14" t="s">
        <v>75</v>
      </c>
      <c r="H29" s="14">
        <v>85</v>
      </c>
      <c r="I29" s="14" t="str">
        <f>IF(Table3[[#This Row],[Quantity]]=0, "Invalid Qty", "Valid")</f>
        <v>Valid</v>
      </c>
      <c r="J29" s="15">
        <v>29.41</v>
      </c>
      <c r="K29" s="16">
        <f>Table3[[#This Row],[Price Per Unit]]*Table3[[#This Row],[Quantity]]</f>
        <v>2499.85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497E-C8B3-4931-ADDD-51D69AAB8E80}">
  <dimension ref="A3:H53"/>
  <sheetViews>
    <sheetView zoomScale="70" zoomScaleNormal="70" workbookViewId="0">
      <selection activeCell="A40" sqref="A40"/>
    </sheetView>
  </sheetViews>
  <sheetFormatPr defaultRowHeight="14.5" x14ac:dyDescent="0.35"/>
  <cols>
    <col min="1" max="1" width="13.08984375" bestFit="1" customWidth="1"/>
    <col min="2" max="2" width="15.6328125" bestFit="1" customWidth="1"/>
    <col min="3" max="3" width="15.26953125" bestFit="1" customWidth="1"/>
    <col min="4" max="5" width="14.54296875" bestFit="1" customWidth="1"/>
    <col min="7" max="7" width="21.81640625" bestFit="1" customWidth="1"/>
    <col min="8" max="8" width="15.6328125" bestFit="1" customWidth="1"/>
    <col min="20" max="20" width="12.36328125" bestFit="1" customWidth="1"/>
    <col min="21" max="21" width="13.90625" bestFit="1" customWidth="1"/>
    <col min="22" max="22" width="7.81640625" bestFit="1" customWidth="1"/>
    <col min="23" max="23" width="5.36328125" bestFit="1" customWidth="1"/>
    <col min="24" max="24" width="6.453125" bestFit="1" customWidth="1"/>
    <col min="25" max="25" width="7.81640625" bestFit="1" customWidth="1"/>
    <col min="26" max="26" width="4.81640625" bestFit="1" customWidth="1"/>
    <col min="27" max="27" width="3.7265625" bestFit="1" customWidth="1"/>
    <col min="28" max="28" width="7.1796875" bestFit="1" customWidth="1"/>
    <col min="29" max="29" width="10.7265625" bestFit="1" customWidth="1"/>
  </cols>
  <sheetData>
    <row r="3" spans="1:8" x14ac:dyDescent="0.35">
      <c r="A3" s="22" t="s">
        <v>84</v>
      </c>
      <c r="B3" s="23" t="s">
        <v>83</v>
      </c>
      <c r="D3" s="22" t="s">
        <v>84</v>
      </c>
      <c r="E3" s="23" t="s">
        <v>86</v>
      </c>
      <c r="G3" s="22" t="s">
        <v>84</v>
      </c>
      <c r="H3" s="23" t="s">
        <v>83</v>
      </c>
    </row>
    <row r="4" spans="1:8" x14ac:dyDescent="0.35">
      <c r="A4" s="24" t="s">
        <v>66</v>
      </c>
      <c r="B4" s="25">
        <v>4499.75</v>
      </c>
      <c r="D4" s="24" t="s">
        <v>48</v>
      </c>
      <c r="E4" s="26">
        <v>0</v>
      </c>
      <c r="G4" s="24" t="s">
        <v>48</v>
      </c>
      <c r="H4" s="25">
        <v>0</v>
      </c>
    </row>
    <row r="5" spans="1:8" x14ac:dyDescent="0.35">
      <c r="A5" s="24" t="s">
        <v>13</v>
      </c>
      <c r="B5" s="25">
        <v>4400</v>
      </c>
      <c r="D5" s="24" t="s">
        <v>54</v>
      </c>
      <c r="E5" s="26">
        <v>50</v>
      </c>
      <c r="G5" s="24" t="s">
        <v>54</v>
      </c>
      <c r="H5" s="25">
        <v>1600</v>
      </c>
    </row>
    <row r="6" spans="1:8" x14ac:dyDescent="0.35">
      <c r="A6" s="24" t="s">
        <v>9</v>
      </c>
      <c r="B6" s="25">
        <v>2399.85</v>
      </c>
      <c r="D6" s="24" t="s">
        <v>52</v>
      </c>
      <c r="E6" s="26">
        <v>45</v>
      </c>
      <c r="G6" s="24" t="s">
        <v>52</v>
      </c>
      <c r="H6" s="25">
        <v>1499.85</v>
      </c>
    </row>
    <row r="7" spans="1:8" x14ac:dyDescent="0.35">
      <c r="A7" s="24" t="s">
        <v>22</v>
      </c>
      <c r="B7" s="25">
        <v>8049.9</v>
      </c>
      <c r="D7" s="24" t="s">
        <v>26</v>
      </c>
      <c r="E7" s="26">
        <v>30</v>
      </c>
      <c r="G7" s="24" t="s">
        <v>26</v>
      </c>
      <c r="H7" s="25">
        <v>500.1</v>
      </c>
    </row>
    <row r="8" spans="1:8" x14ac:dyDescent="0.35">
      <c r="A8" s="24" t="s">
        <v>80</v>
      </c>
      <c r="B8" s="25">
        <v>1100.1000000000001</v>
      </c>
      <c r="D8" s="24" t="s">
        <v>32</v>
      </c>
      <c r="E8" s="26">
        <v>40</v>
      </c>
      <c r="G8" s="24" t="s">
        <v>32</v>
      </c>
      <c r="H8" s="25">
        <v>600</v>
      </c>
    </row>
    <row r="9" spans="1:8" x14ac:dyDescent="0.35">
      <c r="A9" s="24" t="s">
        <v>17</v>
      </c>
      <c r="B9" s="25">
        <v>5950.2</v>
      </c>
      <c r="D9" s="24" t="s">
        <v>42</v>
      </c>
      <c r="E9" s="26">
        <v>0</v>
      </c>
      <c r="G9" s="24" t="s">
        <v>42</v>
      </c>
      <c r="H9" s="25">
        <v>0</v>
      </c>
    </row>
    <row r="10" spans="1:8" x14ac:dyDescent="0.35">
      <c r="A10" s="24" t="s">
        <v>85</v>
      </c>
      <c r="B10" s="25">
        <v>26399.8</v>
      </c>
      <c r="D10" s="24" t="s">
        <v>19</v>
      </c>
      <c r="E10" s="26">
        <v>0</v>
      </c>
      <c r="G10" s="24" t="s">
        <v>19</v>
      </c>
      <c r="H10" s="25">
        <v>0</v>
      </c>
    </row>
    <row r="11" spans="1:8" x14ac:dyDescent="0.35">
      <c r="D11" s="24" t="s">
        <v>40</v>
      </c>
      <c r="E11" s="26">
        <v>20</v>
      </c>
      <c r="G11" s="24" t="s">
        <v>40</v>
      </c>
      <c r="H11" s="25">
        <v>900</v>
      </c>
    </row>
    <row r="12" spans="1:8" x14ac:dyDescent="0.35">
      <c r="A12" s="22" t="s">
        <v>84</v>
      </c>
      <c r="B12" s="23" t="s">
        <v>87</v>
      </c>
      <c r="D12" s="24" t="s">
        <v>58</v>
      </c>
      <c r="E12" s="26">
        <v>60</v>
      </c>
      <c r="G12" s="24" t="s">
        <v>58</v>
      </c>
      <c r="H12" s="25">
        <v>1800</v>
      </c>
    </row>
    <row r="13" spans="1:8" x14ac:dyDescent="0.35">
      <c r="A13" s="24" t="s">
        <v>23</v>
      </c>
      <c r="B13" s="26">
        <v>6</v>
      </c>
      <c r="D13" s="24" t="s">
        <v>60</v>
      </c>
      <c r="E13" s="26">
        <v>0</v>
      </c>
      <c r="G13" s="24" t="s">
        <v>60</v>
      </c>
      <c r="H13" s="25">
        <v>0</v>
      </c>
    </row>
    <row r="14" spans="1:8" x14ac:dyDescent="0.35">
      <c r="A14" s="24" t="s">
        <v>14</v>
      </c>
      <c r="B14" s="26">
        <v>6</v>
      </c>
      <c r="D14" s="24" t="s">
        <v>46</v>
      </c>
      <c r="E14" s="26">
        <v>35</v>
      </c>
      <c r="G14" s="24" t="s">
        <v>46</v>
      </c>
      <c r="H14" s="25">
        <v>1200.1499999999999</v>
      </c>
    </row>
    <row r="15" spans="1:8" x14ac:dyDescent="0.35">
      <c r="A15" s="24" t="s">
        <v>10</v>
      </c>
      <c r="B15" s="26">
        <v>6</v>
      </c>
      <c r="D15" s="24" t="s">
        <v>24</v>
      </c>
      <c r="E15" s="26">
        <v>25</v>
      </c>
      <c r="G15" s="24" t="s">
        <v>24</v>
      </c>
      <c r="H15" s="25">
        <v>250</v>
      </c>
    </row>
    <row r="16" spans="1:8" x14ac:dyDescent="0.35">
      <c r="A16" s="24" t="s">
        <v>74</v>
      </c>
      <c r="B16" s="26">
        <v>1</v>
      </c>
      <c r="D16" s="24" t="s">
        <v>44</v>
      </c>
      <c r="E16" s="26">
        <v>30</v>
      </c>
      <c r="G16" s="24" t="s">
        <v>44</v>
      </c>
      <c r="H16" s="25">
        <v>1100.1000000000001</v>
      </c>
    </row>
    <row r="17" spans="1:8" x14ac:dyDescent="0.35">
      <c r="A17" s="24" t="s">
        <v>67</v>
      </c>
      <c r="B17" s="26">
        <v>1</v>
      </c>
      <c r="D17" s="24" t="s">
        <v>34</v>
      </c>
      <c r="E17" s="26">
        <v>45</v>
      </c>
      <c r="G17" s="24" t="s">
        <v>34</v>
      </c>
      <c r="H17" s="25">
        <v>549.9</v>
      </c>
    </row>
    <row r="18" spans="1:8" x14ac:dyDescent="0.35">
      <c r="A18" s="24" t="s">
        <v>18</v>
      </c>
      <c r="B18" s="26">
        <v>6</v>
      </c>
      <c r="D18" s="24" t="s">
        <v>38</v>
      </c>
      <c r="E18" s="26">
        <v>5</v>
      </c>
      <c r="G18" s="24" t="s">
        <v>38</v>
      </c>
      <c r="H18" s="25">
        <v>800</v>
      </c>
    </row>
    <row r="19" spans="1:8" x14ac:dyDescent="0.35">
      <c r="A19" s="24" t="s">
        <v>72</v>
      </c>
      <c r="B19" s="26">
        <v>1</v>
      </c>
      <c r="D19" s="24" t="s">
        <v>36</v>
      </c>
      <c r="E19" s="26">
        <v>50</v>
      </c>
      <c r="G19" s="24" t="s">
        <v>36</v>
      </c>
      <c r="H19" s="25">
        <v>700</v>
      </c>
    </row>
    <row r="20" spans="1:8" x14ac:dyDescent="0.35">
      <c r="A20" s="24" t="s">
        <v>70</v>
      </c>
      <c r="B20" s="26">
        <v>1</v>
      </c>
      <c r="D20" s="24" t="s">
        <v>75</v>
      </c>
      <c r="E20" s="26">
        <v>85</v>
      </c>
      <c r="G20" s="24" t="s">
        <v>75</v>
      </c>
      <c r="H20" s="25">
        <v>2499.85</v>
      </c>
    </row>
    <row r="21" spans="1:8" x14ac:dyDescent="0.35">
      <c r="A21" s="24" t="s">
        <v>85</v>
      </c>
      <c r="B21" s="26">
        <v>28</v>
      </c>
      <c r="D21" s="24" t="s">
        <v>11</v>
      </c>
      <c r="E21" s="26">
        <v>10</v>
      </c>
      <c r="G21" s="24" t="s">
        <v>11</v>
      </c>
      <c r="H21" s="25">
        <v>200</v>
      </c>
    </row>
    <row r="22" spans="1:8" x14ac:dyDescent="0.35">
      <c r="D22" s="24" t="s">
        <v>71</v>
      </c>
      <c r="E22" s="26">
        <v>80</v>
      </c>
      <c r="G22" s="24" t="s">
        <v>71</v>
      </c>
      <c r="H22" s="25">
        <v>2300</v>
      </c>
    </row>
    <row r="23" spans="1:8" x14ac:dyDescent="0.35">
      <c r="A23" s="22" t="s">
        <v>84</v>
      </c>
      <c r="B23" s="23" t="s">
        <v>83</v>
      </c>
      <c r="D23" s="24" t="s">
        <v>62</v>
      </c>
      <c r="E23" s="26">
        <v>65</v>
      </c>
      <c r="G23" s="24" t="s">
        <v>62</v>
      </c>
      <c r="H23" s="25">
        <v>2000.05</v>
      </c>
    </row>
    <row r="24" spans="1:8" x14ac:dyDescent="0.35">
      <c r="A24" s="24" t="s">
        <v>23</v>
      </c>
      <c r="B24" s="25">
        <v>5550.05</v>
      </c>
      <c r="D24" s="24" t="s">
        <v>64</v>
      </c>
      <c r="E24" s="26">
        <v>70</v>
      </c>
      <c r="G24" s="24" t="s">
        <v>64</v>
      </c>
      <c r="H24" s="25">
        <v>2100</v>
      </c>
    </row>
    <row r="25" spans="1:8" x14ac:dyDescent="0.35">
      <c r="A25" s="24" t="s">
        <v>14</v>
      </c>
      <c r="B25" s="25">
        <v>3449.95</v>
      </c>
      <c r="D25" s="24" t="s">
        <v>30</v>
      </c>
      <c r="E25" s="26">
        <v>35</v>
      </c>
      <c r="G25" s="24" t="s">
        <v>30</v>
      </c>
      <c r="H25" s="25">
        <v>350</v>
      </c>
    </row>
    <row r="26" spans="1:8" x14ac:dyDescent="0.35">
      <c r="A26" s="24" t="s">
        <v>10</v>
      </c>
      <c r="B26" s="25">
        <v>4450</v>
      </c>
      <c r="D26" s="24" t="s">
        <v>73</v>
      </c>
      <c r="E26" s="26">
        <v>0</v>
      </c>
      <c r="G26" s="24" t="s">
        <v>73</v>
      </c>
      <c r="H26" s="25">
        <v>0</v>
      </c>
    </row>
    <row r="27" spans="1:8" x14ac:dyDescent="0.35">
      <c r="A27" s="24" t="s">
        <v>74</v>
      </c>
      <c r="B27" s="25">
        <v>2499.85</v>
      </c>
      <c r="D27" s="24" t="s">
        <v>68</v>
      </c>
      <c r="E27" s="26">
        <v>75</v>
      </c>
      <c r="G27" s="24" t="s">
        <v>68</v>
      </c>
      <c r="H27" s="25">
        <v>2199.75</v>
      </c>
    </row>
    <row r="28" spans="1:8" x14ac:dyDescent="0.35">
      <c r="A28" s="24" t="s">
        <v>67</v>
      </c>
      <c r="B28" s="25">
        <v>2199.75</v>
      </c>
      <c r="D28" s="24" t="s">
        <v>15</v>
      </c>
      <c r="E28" s="26">
        <v>15</v>
      </c>
      <c r="G28" s="24" t="s">
        <v>15</v>
      </c>
      <c r="H28" s="25">
        <v>150</v>
      </c>
    </row>
    <row r="29" spans="1:8" x14ac:dyDescent="0.35">
      <c r="A29" s="24" t="s">
        <v>18</v>
      </c>
      <c r="B29" s="25">
        <v>5950.2</v>
      </c>
      <c r="D29" s="24" t="s">
        <v>50</v>
      </c>
      <c r="E29" s="26">
        <v>40</v>
      </c>
      <c r="G29" s="24" t="s">
        <v>50</v>
      </c>
      <c r="H29" s="25">
        <v>1400</v>
      </c>
    </row>
    <row r="30" spans="1:8" x14ac:dyDescent="0.35">
      <c r="A30" s="24" t="s">
        <v>72</v>
      </c>
      <c r="B30" s="25">
        <v>0</v>
      </c>
      <c r="D30" s="24" t="s">
        <v>56</v>
      </c>
      <c r="E30" s="26">
        <v>55</v>
      </c>
      <c r="G30" s="24" t="s">
        <v>56</v>
      </c>
      <c r="H30" s="25">
        <v>1700.05</v>
      </c>
    </row>
    <row r="31" spans="1:8" x14ac:dyDescent="0.35">
      <c r="A31" s="24" t="s">
        <v>70</v>
      </c>
      <c r="B31" s="25">
        <v>2300</v>
      </c>
      <c r="D31" s="24" t="s">
        <v>28</v>
      </c>
      <c r="E31" s="26">
        <v>0</v>
      </c>
      <c r="G31" s="24" t="s">
        <v>28</v>
      </c>
      <c r="H31" s="25">
        <v>0</v>
      </c>
    </row>
    <row r="32" spans="1:8" x14ac:dyDescent="0.35">
      <c r="A32" s="24" t="s">
        <v>85</v>
      </c>
      <c r="B32" s="25">
        <v>26399.8</v>
      </c>
      <c r="D32" s="24" t="s">
        <v>85</v>
      </c>
      <c r="E32" s="26">
        <v>965</v>
      </c>
      <c r="G32" s="24" t="s">
        <v>85</v>
      </c>
      <c r="H32" s="25">
        <v>26399.799999999996</v>
      </c>
    </row>
    <row r="34" spans="1:8" x14ac:dyDescent="0.35">
      <c r="A34" s="23" t="s">
        <v>83</v>
      </c>
      <c r="D34" s="23" t="s">
        <v>86</v>
      </c>
    </row>
    <row r="35" spans="1:8" x14ac:dyDescent="0.35">
      <c r="A35" s="25">
        <v>26399.8</v>
      </c>
      <c r="D35" s="26">
        <v>965</v>
      </c>
      <c r="H35" s="17"/>
    </row>
    <row r="37" spans="1:8" x14ac:dyDescent="0.35">
      <c r="A37" s="27">
        <f>GETPIVOTDATA("Total Cost",$A$34)</f>
        <v>26399.8</v>
      </c>
      <c r="B37" s="28" t="s">
        <v>89</v>
      </c>
      <c r="D37" s="23">
        <f>GETPIVOTDATA("Quantity",$D$34)</f>
        <v>965</v>
      </c>
      <c r="E37" s="28" t="s">
        <v>90</v>
      </c>
    </row>
    <row r="40" spans="1:8" x14ac:dyDescent="0.35">
      <c r="A40" s="22" t="s">
        <v>84</v>
      </c>
      <c r="B40" s="23" t="s">
        <v>83</v>
      </c>
    </row>
    <row r="41" spans="1:8" x14ac:dyDescent="0.35">
      <c r="A41" s="29" t="s">
        <v>91</v>
      </c>
      <c r="B41" s="25">
        <v>2399.75</v>
      </c>
    </row>
    <row r="42" spans="1:8" x14ac:dyDescent="0.35">
      <c r="A42" s="29" t="s">
        <v>92</v>
      </c>
      <c r="B42" s="25">
        <v>3550.1000000000004</v>
      </c>
    </row>
    <row r="43" spans="1:8" x14ac:dyDescent="0.35">
      <c r="A43" s="29" t="s">
        <v>93</v>
      </c>
      <c r="B43" s="25">
        <v>1200.1499999999999</v>
      </c>
    </row>
    <row r="44" spans="1:8" x14ac:dyDescent="0.35">
      <c r="A44" s="29" t="s">
        <v>94</v>
      </c>
      <c r="B44" s="25">
        <v>2749.85</v>
      </c>
    </row>
    <row r="45" spans="1:8" x14ac:dyDescent="0.35">
      <c r="A45" s="29" t="s">
        <v>95</v>
      </c>
      <c r="B45" s="25">
        <v>1900.1</v>
      </c>
    </row>
    <row r="46" spans="1:8" x14ac:dyDescent="0.35">
      <c r="A46" s="29" t="s">
        <v>96</v>
      </c>
      <c r="B46" s="25">
        <v>1499.85</v>
      </c>
    </row>
    <row r="47" spans="1:8" x14ac:dyDescent="0.35">
      <c r="A47" s="29" t="s">
        <v>97</v>
      </c>
      <c r="B47" s="25">
        <v>1950</v>
      </c>
    </row>
    <row r="48" spans="1:8" x14ac:dyDescent="0.35">
      <c r="A48" s="29" t="s">
        <v>98</v>
      </c>
      <c r="B48" s="25">
        <v>2300.0500000000002</v>
      </c>
    </row>
    <row r="49" spans="1:2" x14ac:dyDescent="0.35">
      <c r="A49" s="29" t="s">
        <v>99</v>
      </c>
      <c r="B49" s="25">
        <v>2349.9</v>
      </c>
    </row>
    <row r="50" spans="1:2" x14ac:dyDescent="0.35">
      <c r="A50" s="29" t="s">
        <v>100</v>
      </c>
      <c r="B50" s="25">
        <v>700</v>
      </c>
    </row>
    <row r="51" spans="1:2" x14ac:dyDescent="0.35">
      <c r="A51" s="29" t="s">
        <v>101</v>
      </c>
      <c r="B51" s="25">
        <v>2800.05</v>
      </c>
    </row>
    <row r="52" spans="1:2" x14ac:dyDescent="0.35">
      <c r="A52" s="29" t="s">
        <v>102</v>
      </c>
      <c r="B52" s="25">
        <v>3000</v>
      </c>
    </row>
    <row r="53" spans="1:2" x14ac:dyDescent="0.35">
      <c r="A53" s="29" t="s">
        <v>85</v>
      </c>
      <c r="B53" s="25">
        <v>26399.800000000003</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A0DC-E1FB-4C48-9EBA-8F65091AC637}">
  <dimension ref="A1:AT46"/>
  <sheetViews>
    <sheetView showGridLines="0" tabSelected="1" zoomScale="70" zoomScaleNormal="70" workbookViewId="0"/>
  </sheetViews>
  <sheetFormatPr defaultRowHeight="14.5" x14ac:dyDescent="0.35"/>
  <cols>
    <col min="7" max="7" width="8.7265625" customWidth="1"/>
    <col min="26" max="26" width="7.1796875" customWidth="1"/>
  </cols>
  <sheetData>
    <row r="1" spans="1:46" ht="26" x14ac:dyDescent="0.6">
      <c r="A1" s="20" t="s">
        <v>88</v>
      </c>
      <c r="B1" s="19"/>
      <c r="C1" s="19"/>
      <c r="D1" s="19"/>
      <c r="E1" s="19"/>
      <c r="F1" s="19"/>
      <c r="G1" s="19"/>
      <c r="H1" s="19"/>
      <c r="I1" s="19"/>
      <c r="J1" s="19"/>
      <c r="K1" s="19"/>
      <c r="L1" s="19"/>
      <c r="M1" s="19"/>
      <c r="N1" s="19"/>
      <c r="O1" s="19"/>
      <c r="P1" s="19"/>
      <c r="Q1" s="19"/>
      <c r="R1" s="19"/>
      <c r="S1" s="19"/>
      <c r="T1" s="19"/>
      <c r="U1" s="19"/>
      <c r="V1" s="19"/>
      <c r="W1" s="19"/>
      <c r="X1" s="19"/>
      <c r="Y1" s="19"/>
      <c r="Z1" s="19"/>
      <c r="AA1" s="19"/>
      <c r="AB1" s="19"/>
    </row>
    <row r="2" spans="1:46" ht="26" x14ac:dyDescent="0.6">
      <c r="A2" s="20"/>
      <c r="B2" s="20"/>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46" x14ac:dyDescent="0.3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21"/>
      <c r="AF3" s="21"/>
      <c r="AG3" s="21"/>
      <c r="AH3" s="18"/>
      <c r="AI3" s="18"/>
      <c r="AJ3" s="18"/>
      <c r="AK3" s="18"/>
      <c r="AL3" s="18"/>
      <c r="AM3" s="18"/>
      <c r="AN3" s="18"/>
      <c r="AO3" s="18"/>
      <c r="AP3" s="18"/>
      <c r="AQ3" s="18"/>
      <c r="AR3" s="18"/>
      <c r="AS3" s="18"/>
      <c r="AT3" s="18"/>
    </row>
    <row r="4" spans="1:46" x14ac:dyDescent="0.3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21"/>
      <c r="AF4" s="21"/>
      <c r="AG4" s="21"/>
      <c r="AH4" s="18"/>
      <c r="AI4" s="18"/>
      <c r="AJ4" s="18"/>
      <c r="AK4" s="18"/>
      <c r="AL4" s="18"/>
      <c r="AM4" s="18"/>
      <c r="AN4" s="18"/>
      <c r="AO4" s="18"/>
      <c r="AP4" s="18"/>
      <c r="AQ4" s="18"/>
      <c r="AR4" s="18"/>
      <c r="AS4" s="18"/>
      <c r="AT4" s="18"/>
    </row>
    <row r="5" spans="1:46" x14ac:dyDescent="0.3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21"/>
      <c r="AF5" s="21"/>
      <c r="AG5" s="21"/>
      <c r="AH5" s="18"/>
      <c r="AI5" s="18"/>
      <c r="AJ5" s="18"/>
      <c r="AK5" s="18"/>
      <c r="AL5" s="18"/>
      <c r="AM5" s="18"/>
      <c r="AN5" s="18"/>
      <c r="AO5" s="18"/>
      <c r="AP5" s="18"/>
      <c r="AQ5" s="18"/>
      <c r="AR5" s="18"/>
      <c r="AS5" s="18"/>
      <c r="AT5" s="18"/>
    </row>
    <row r="6" spans="1:46"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21"/>
      <c r="AF6" s="21"/>
      <c r="AG6" s="21"/>
      <c r="AH6" s="18"/>
      <c r="AI6" s="18"/>
      <c r="AJ6" s="18"/>
      <c r="AK6" s="18"/>
      <c r="AL6" s="18"/>
      <c r="AM6" s="18"/>
      <c r="AN6" s="18"/>
      <c r="AO6" s="18"/>
      <c r="AP6" s="18"/>
      <c r="AQ6" s="18"/>
      <c r="AR6" s="18"/>
      <c r="AS6" s="18"/>
      <c r="AT6" s="18"/>
    </row>
    <row r="7" spans="1:46" x14ac:dyDescent="0.3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21"/>
      <c r="AF7" s="21"/>
      <c r="AG7" s="21"/>
      <c r="AH7" s="18"/>
      <c r="AI7" s="18"/>
      <c r="AJ7" s="18"/>
      <c r="AK7" s="18"/>
      <c r="AL7" s="18"/>
      <c r="AM7" s="18"/>
      <c r="AN7" s="18"/>
      <c r="AO7" s="18"/>
      <c r="AP7" s="18"/>
      <c r="AQ7" s="18"/>
      <c r="AR7" s="18"/>
      <c r="AS7" s="18"/>
      <c r="AT7" s="18"/>
    </row>
    <row r="8" spans="1:46" x14ac:dyDescent="0.3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21"/>
      <c r="AF8" s="21"/>
      <c r="AG8" s="21"/>
      <c r="AH8" s="18"/>
      <c r="AI8" s="18"/>
      <c r="AJ8" s="18"/>
      <c r="AK8" s="18"/>
      <c r="AL8" s="18"/>
      <c r="AM8" s="18"/>
      <c r="AN8" s="18"/>
      <c r="AO8" s="18"/>
      <c r="AP8" s="18"/>
      <c r="AQ8" s="18"/>
      <c r="AR8" s="18"/>
      <c r="AS8" s="18"/>
      <c r="AT8" s="18"/>
    </row>
    <row r="9" spans="1:46" x14ac:dyDescent="0.3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21"/>
      <c r="AF9" s="21"/>
      <c r="AG9" s="21"/>
      <c r="AH9" s="18"/>
      <c r="AI9" s="18"/>
      <c r="AJ9" s="18"/>
      <c r="AK9" s="18"/>
      <c r="AL9" s="18"/>
      <c r="AM9" s="18"/>
      <c r="AN9" s="18"/>
      <c r="AO9" s="18"/>
      <c r="AP9" s="18"/>
      <c r="AQ9" s="18"/>
      <c r="AR9" s="18"/>
      <c r="AS9" s="18"/>
      <c r="AT9" s="18"/>
    </row>
    <row r="10" spans="1:46" x14ac:dyDescent="0.3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21"/>
      <c r="AF10" s="21"/>
      <c r="AG10" s="21"/>
      <c r="AH10" s="18"/>
      <c r="AI10" s="18"/>
      <c r="AJ10" s="18"/>
      <c r="AK10" s="18"/>
      <c r="AL10" s="18"/>
      <c r="AM10" s="18"/>
      <c r="AN10" s="18"/>
      <c r="AO10" s="18"/>
      <c r="AP10" s="18"/>
      <c r="AQ10" s="18"/>
      <c r="AR10" s="18"/>
      <c r="AS10" s="18"/>
      <c r="AT10" s="18"/>
    </row>
    <row r="11" spans="1:46" x14ac:dyDescent="0.3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21"/>
      <c r="AF11" s="21"/>
      <c r="AG11" s="21"/>
      <c r="AH11" s="18"/>
      <c r="AI11" s="18"/>
      <c r="AJ11" s="18"/>
      <c r="AK11" s="18"/>
      <c r="AL11" s="18"/>
      <c r="AM11" s="18"/>
      <c r="AN11" s="18"/>
      <c r="AO11" s="18"/>
      <c r="AP11" s="18"/>
      <c r="AQ11" s="18"/>
      <c r="AR11" s="18"/>
      <c r="AS11" s="18"/>
      <c r="AT11" s="18"/>
    </row>
    <row r="12" spans="1:46" x14ac:dyDescent="0.3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21"/>
      <c r="AF12" s="21"/>
      <c r="AG12" s="21"/>
      <c r="AH12" s="18"/>
      <c r="AI12" s="18"/>
      <c r="AJ12" s="18"/>
      <c r="AK12" s="18"/>
      <c r="AL12" s="18"/>
      <c r="AM12" s="18"/>
      <c r="AN12" s="18"/>
      <c r="AO12" s="18"/>
      <c r="AP12" s="18"/>
      <c r="AQ12" s="18"/>
      <c r="AR12" s="18"/>
      <c r="AS12" s="18"/>
      <c r="AT12" s="18"/>
    </row>
    <row r="13" spans="1:46" x14ac:dyDescent="0.3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21"/>
      <c r="AF13" s="21"/>
      <c r="AG13" s="21"/>
      <c r="AH13" s="18"/>
      <c r="AI13" s="18"/>
      <c r="AJ13" s="18"/>
      <c r="AK13" s="18"/>
      <c r="AL13" s="18"/>
      <c r="AM13" s="18"/>
      <c r="AN13" s="18"/>
      <c r="AO13" s="18"/>
      <c r="AP13" s="18"/>
      <c r="AQ13" s="18"/>
      <c r="AR13" s="18"/>
      <c r="AS13" s="18"/>
      <c r="AT13" s="18"/>
    </row>
    <row r="14" spans="1:46" x14ac:dyDescent="0.3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21"/>
      <c r="AF14" s="21"/>
      <c r="AG14" s="21"/>
      <c r="AH14" s="18"/>
      <c r="AI14" s="18"/>
      <c r="AJ14" s="18"/>
      <c r="AK14" s="18"/>
      <c r="AL14" s="18"/>
      <c r="AM14" s="18"/>
      <c r="AN14" s="18"/>
      <c r="AO14" s="18"/>
      <c r="AP14" s="18"/>
      <c r="AQ14" s="18"/>
      <c r="AR14" s="18"/>
      <c r="AS14" s="18"/>
      <c r="AT14" s="18"/>
    </row>
    <row r="15" spans="1:46" x14ac:dyDescent="0.3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21"/>
      <c r="AF15" s="21"/>
      <c r="AG15" s="21"/>
      <c r="AH15" s="18"/>
      <c r="AI15" s="18"/>
      <c r="AJ15" s="18"/>
      <c r="AK15" s="18"/>
      <c r="AL15" s="18"/>
      <c r="AM15" s="18"/>
      <c r="AN15" s="18"/>
      <c r="AO15" s="18"/>
      <c r="AP15" s="18"/>
      <c r="AQ15" s="18"/>
      <c r="AR15" s="18"/>
      <c r="AS15" s="18"/>
      <c r="AT15" s="18"/>
    </row>
    <row r="16" spans="1:46" x14ac:dyDescent="0.3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21"/>
      <c r="AF16" s="21"/>
      <c r="AG16" s="21"/>
      <c r="AH16" s="18"/>
      <c r="AI16" s="18"/>
      <c r="AJ16" s="18"/>
      <c r="AK16" s="18"/>
      <c r="AL16" s="18"/>
      <c r="AM16" s="18"/>
      <c r="AN16" s="18"/>
      <c r="AO16" s="18"/>
      <c r="AP16" s="18"/>
      <c r="AQ16" s="18"/>
      <c r="AR16" s="18"/>
      <c r="AS16" s="18"/>
      <c r="AT16" s="18"/>
    </row>
    <row r="17" spans="1:46" x14ac:dyDescent="0.3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21"/>
      <c r="AF17" s="21"/>
      <c r="AG17" s="21"/>
      <c r="AH17" s="18"/>
      <c r="AI17" s="18"/>
      <c r="AJ17" s="18"/>
      <c r="AK17" s="18"/>
      <c r="AL17" s="18"/>
      <c r="AM17" s="18"/>
      <c r="AN17" s="18"/>
      <c r="AO17" s="18"/>
      <c r="AP17" s="18"/>
      <c r="AQ17" s="18"/>
      <c r="AR17" s="18"/>
      <c r="AS17" s="18"/>
      <c r="AT17" s="18"/>
    </row>
    <row r="18" spans="1:46" x14ac:dyDescent="0.3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21"/>
      <c r="AF18" s="21"/>
      <c r="AG18" s="21"/>
      <c r="AH18" s="18"/>
      <c r="AI18" s="18"/>
      <c r="AJ18" s="18"/>
      <c r="AK18" s="18"/>
      <c r="AL18" s="18"/>
      <c r="AM18" s="18"/>
      <c r="AN18" s="18"/>
      <c r="AO18" s="18"/>
      <c r="AP18" s="18"/>
      <c r="AQ18" s="18"/>
      <c r="AR18" s="18"/>
      <c r="AS18" s="18"/>
      <c r="AT18" s="18"/>
    </row>
    <row r="19" spans="1:46" x14ac:dyDescent="0.3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21"/>
      <c r="AF19" s="21"/>
      <c r="AG19" s="21"/>
      <c r="AH19" s="18"/>
      <c r="AI19" s="18"/>
      <c r="AJ19" s="18"/>
      <c r="AK19" s="18"/>
      <c r="AL19" s="18"/>
      <c r="AM19" s="18"/>
      <c r="AN19" s="18"/>
      <c r="AO19" s="18"/>
      <c r="AP19" s="18"/>
      <c r="AQ19" s="18"/>
      <c r="AR19" s="18"/>
      <c r="AS19" s="18"/>
      <c r="AT19" s="18"/>
    </row>
    <row r="20" spans="1:46"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21"/>
      <c r="AF20" s="21"/>
      <c r="AG20" s="21"/>
      <c r="AH20" s="18"/>
      <c r="AI20" s="18"/>
      <c r="AJ20" s="18"/>
      <c r="AK20" s="18"/>
      <c r="AL20" s="18"/>
      <c r="AM20" s="18"/>
      <c r="AN20" s="18"/>
      <c r="AO20" s="18"/>
      <c r="AP20" s="18"/>
      <c r="AQ20" s="18"/>
      <c r="AR20" s="18"/>
      <c r="AS20" s="18"/>
      <c r="AT20" s="18"/>
    </row>
    <row r="21" spans="1:46" x14ac:dyDescent="0.3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21"/>
      <c r="AF21" s="21"/>
      <c r="AG21" s="21"/>
      <c r="AH21" s="18"/>
      <c r="AI21" s="18"/>
      <c r="AJ21" s="18"/>
      <c r="AK21" s="18"/>
      <c r="AL21" s="18"/>
      <c r="AM21" s="18"/>
      <c r="AN21" s="18"/>
      <c r="AO21" s="18"/>
      <c r="AP21" s="18"/>
      <c r="AQ21" s="18"/>
      <c r="AR21" s="18"/>
      <c r="AS21" s="18"/>
      <c r="AT21" s="18"/>
    </row>
    <row r="22" spans="1:46" x14ac:dyDescent="0.3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21"/>
      <c r="AF22" s="21"/>
      <c r="AG22" s="21"/>
      <c r="AH22" s="18"/>
      <c r="AI22" s="18"/>
      <c r="AJ22" s="18"/>
      <c r="AK22" s="18"/>
      <c r="AL22" s="18"/>
      <c r="AM22" s="18"/>
      <c r="AN22" s="18"/>
      <c r="AO22" s="18"/>
      <c r="AP22" s="18"/>
      <c r="AQ22" s="18"/>
      <c r="AR22" s="18"/>
      <c r="AS22" s="18"/>
      <c r="AT22" s="18"/>
    </row>
    <row r="23" spans="1:46" x14ac:dyDescent="0.3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21"/>
      <c r="AF23" s="21"/>
      <c r="AG23" s="21"/>
      <c r="AH23" s="18"/>
      <c r="AI23" s="18"/>
      <c r="AJ23" s="18"/>
      <c r="AK23" s="18"/>
      <c r="AL23" s="18"/>
      <c r="AM23" s="18"/>
      <c r="AN23" s="18"/>
      <c r="AO23" s="18"/>
      <c r="AP23" s="18"/>
      <c r="AQ23" s="18"/>
      <c r="AR23" s="18"/>
      <c r="AS23" s="18"/>
      <c r="AT23" s="18"/>
    </row>
    <row r="24" spans="1:46" x14ac:dyDescent="0.3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21"/>
      <c r="AF24" s="21"/>
      <c r="AG24" s="21"/>
      <c r="AH24" s="18"/>
      <c r="AI24" s="18"/>
      <c r="AJ24" s="18"/>
      <c r="AK24" s="18"/>
      <c r="AL24" s="18"/>
      <c r="AM24" s="18"/>
      <c r="AN24" s="18"/>
      <c r="AO24" s="18"/>
      <c r="AP24" s="18"/>
      <c r="AQ24" s="18"/>
      <c r="AR24" s="18"/>
      <c r="AS24" s="18"/>
      <c r="AT24" s="18"/>
    </row>
    <row r="25" spans="1:46" x14ac:dyDescent="0.3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21"/>
      <c r="AF25" s="21"/>
      <c r="AG25" s="21"/>
      <c r="AH25" s="18"/>
      <c r="AI25" s="18"/>
      <c r="AJ25" s="18"/>
      <c r="AK25" s="18"/>
      <c r="AL25" s="18"/>
      <c r="AM25" s="18"/>
      <c r="AN25" s="18"/>
      <c r="AO25" s="18"/>
      <c r="AP25" s="18"/>
      <c r="AQ25" s="18"/>
      <c r="AR25" s="18"/>
      <c r="AS25" s="18"/>
      <c r="AT25" s="18"/>
    </row>
    <row r="26" spans="1:46" x14ac:dyDescent="0.3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21"/>
      <c r="AF26" s="21"/>
      <c r="AG26" s="21"/>
      <c r="AH26" s="18"/>
      <c r="AI26" s="18"/>
      <c r="AJ26" s="18"/>
      <c r="AK26" s="18"/>
      <c r="AL26" s="18"/>
      <c r="AM26" s="18"/>
      <c r="AN26" s="18"/>
      <c r="AO26" s="18"/>
      <c r="AP26" s="18"/>
      <c r="AQ26" s="18"/>
      <c r="AR26" s="18"/>
      <c r="AS26" s="18"/>
      <c r="AT26" s="18"/>
    </row>
    <row r="27" spans="1:46" x14ac:dyDescent="0.3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21"/>
      <c r="AF27" s="21"/>
      <c r="AG27" s="21"/>
      <c r="AH27" s="18"/>
      <c r="AI27" s="18"/>
      <c r="AJ27" s="18"/>
      <c r="AK27" s="18"/>
      <c r="AL27" s="18"/>
      <c r="AM27" s="18"/>
      <c r="AN27" s="18"/>
      <c r="AO27" s="18"/>
      <c r="AP27" s="18"/>
      <c r="AQ27" s="18"/>
      <c r="AR27" s="18"/>
      <c r="AS27" s="18"/>
      <c r="AT27" s="18"/>
    </row>
    <row r="28" spans="1:46" x14ac:dyDescent="0.3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21"/>
      <c r="AF28" s="21"/>
      <c r="AG28" s="21"/>
      <c r="AH28" s="18"/>
      <c r="AI28" s="18"/>
      <c r="AJ28" s="18"/>
      <c r="AK28" s="18"/>
      <c r="AL28" s="18"/>
      <c r="AM28" s="18"/>
      <c r="AN28" s="18"/>
      <c r="AO28" s="18"/>
      <c r="AP28" s="18"/>
      <c r="AQ28" s="18"/>
      <c r="AR28" s="18"/>
      <c r="AS28" s="18"/>
      <c r="AT28" s="18"/>
    </row>
    <row r="29" spans="1:46" x14ac:dyDescent="0.3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21"/>
      <c r="AF29" s="21"/>
      <c r="AG29" s="21"/>
      <c r="AH29" s="18"/>
      <c r="AI29" s="18"/>
      <c r="AJ29" s="18"/>
      <c r="AK29" s="18"/>
      <c r="AL29" s="18"/>
      <c r="AM29" s="18"/>
      <c r="AN29" s="18"/>
      <c r="AO29" s="18"/>
      <c r="AP29" s="18"/>
      <c r="AQ29" s="18"/>
      <c r="AR29" s="18"/>
      <c r="AS29" s="18"/>
      <c r="AT29" s="18"/>
    </row>
    <row r="30" spans="1:46" x14ac:dyDescent="0.3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21"/>
      <c r="AF30" s="21"/>
      <c r="AG30" s="21"/>
      <c r="AH30" s="18"/>
      <c r="AI30" s="18"/>
      <c r="AJ30" s="18"/>
      <c r="AK30" s="18"/>
      <c r="AL30" s="18"/>
      <c r="AM30" s="18"/>
      <c r="AN30" s="18"/>
      <c r="AO30" s="18"/>
      <c r="AP30" s="18"/>
      <c r="AQ30" s="18"/>
      <c r="AR30" s="18"/>
      <c r="AS30" s="18"/>
      <c r="AT30" s="18"/>
    </row>
    <row r="31" spans="1:46" x14ac:dyDescent="0.3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21"/>
      <c r="AF31" s="21"/>
      <c r="AG31" s="21"/>
      <c r="AH31" s="18"/>
      <c r="AI31" s="18"/>
      <c r="AJ31" s="18"/>
      <c r="AK31" s="18"/>
      <c r="AL31" s="18"/>
      <c r="AM31" s="18"/>
      <c r="AN31" s="18"/>
      <c r="AO31" s="18"/>
      <c r="AP31" s="18"/>
      <c r="AQ31" s="18"/>
      <c r="AR31" s="18"/>
      <c r="AS31" s="18"/>
      <c r="AT31" s="18"/>
    </row>
    <row r="32" spans="1:46" x14ac:dyDescent="0.3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21"/>
      <c r="AF32" s="21"/>
      <c r="AG32" s="21"/>
      <c r="AH32" s="18"/>
      <c r="AI32" s="18"/>
      <c r="AJ32" s="18"/>
      <c r="AK32" s="18"/>
      <c r="AL32" s="18"/>
      <c r="AM32" s="18"/>
      <c r="AN32" s="18"/>
      <c r="AO32" s="18"/>
      <c r="AP32" s="18"/>
      <c r="AQ32" s="18"/>
      <c r="AR32" s="18"/>
      <c r="AS32" s="18"/>
      <c r="AT32" s="18"/>
    </row>
    <row r="33" spans="1:46" x14ac:dyDescent="0.3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21"/>
      <c r="AF33" s="21"/>
      <c r="AG33" s="21"/>
      <c r="AH33" s="18"/>
      <c r="AI33" s="18"/>
      <c r="AJ33" s="18"/>
      <c r="AK33" s="18"/>
      <c r="AL33" s="18"/>
      <c r="AM33" s="18"/>
      <c r="AN33" s="18"/>
      <c r="AO33" s="18"/>
      <c r="AP33" s="18"/>
      <c r="AQ33" s="18"/>
      <c r="AR33" s="18"/>
      <c r="AS33" s="18"/>
      <c r="AT33" s="18"/>
    </row>
    <row r="34" spans="1:46" x14ac:dyDescent="0.3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21"/>
      <c r="AF34" s="21"/>
      <c r="AG34" s="21"/>
      <c r="AH34" s="18"/>
      <c r="AI34" s="18"/>
      <c r="AJ34" s="18"/>
      <c r="AK34" s="18"/>
      <c r="AL34" s="18"/>
      <c r="AM34" s="18"/>
      <c r="AN34" s="18"/>
      <c r="AO34" s="18"/>
      <c r="AP34" s="18"/>
      <c r="AQ34" s="18"/>
      <c r="AR34" s="18"/>
      <c r="AS34" s="18"/>
      <c r="AT34" s="18"/>
    </row>
    <row r="35" spans="1:46" x14ac:dyDescent="0.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21"/>
      <c r="AF35" s="21"/>
      <c r="AG35" s="21"/>
      <c r="AH35" s="18"/>
      <c r="AI35" s="18"/>
      <c r="AJ35" s="18"/>
      <c r="AK35" s="18"/>
      <c r="AL35" s="18"/>
      <c r="AM35" s="18"/>
      <c r="AN35" s="18"/>
      <c r="AO35" s="18"/>
      <c r="AP35" s="18"/>
      <c r="AQ35" s="18"/>
      <c r="AR35" s="18"/>
      <c r="AS35" s="18"/>
      <c r="AT35" s="18"/>
    </row>
    <row r="36" spans="1:46" x14ac:dyDescent="0.3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21"/>
      <c r="AF36" s="21"/>
      <c r="AG36" s="21"/>
      <c r="AH36" s="18"/>
      <c r="AI36" s="18"/>
      <c r="AJ36" s="18"/>
      <c r="AK36" s="18"/>
      <c r="AL36" s="18"/>
      <c r="AM36" s="18"/>
      <c r="AN36" s="18"/>
      <c r="AO36" s="18"/>
      <c r="AP36" s="18"/>
      <c r="AQ36" s="18"/>
      <c r="AR36" s="18"/>
      <c r="AS36" s="18"/>
      <c r="AT36" s="18"/>
    </row>
    <row r="37" spans="1:46" x14ac:dyDescent="0.3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row>
    <row r="38" spans="1:46" x14ac:dyDescent="0.3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row>
    <row r="39" spans="1:46" x14ac:dyDescent="0.3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row>
    <row r="40" spans="1:46" x14ac:dyDescent="0.3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row>
    <row r="41" spans="1:46" x14ac:dyDescent="0.3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row>
    <row r="42" spans="1:46" x14ac:dyDescent="0.3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row>
    <row r="43" spans="1:46" x14ac:dyDescent="0.3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row>
    <row r="44" spans="1:46" x14ac:dyDescent="0.3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row>
    <row r="45" spans="1:46"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row>
    <row r="46" spans="1:46"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A9E49C56486844AEA3493470A3BA7F" ma:contentTypeVersion="18" ma:contentTypeDescription="Create a new document." ma:contentTypeScope="" ma:versionID="e113dd8c6d9d6d8e50c33cd355eeb814">
  <xsd:schema xmlns:xsd="http://www.w3.org/2001/XMLSchema" xmlns:xs="http://www.w3.org/2001/XMLSchema" xmlns:p="http://schemas.microsoft.com/office/2006/metadata/properties" xmlns:ns3="04ec5a1a-e29c-407e-9660-cb4eaaff03ab" xmlns:ns4="98587d8b-32ff-4694-8d3a-6f66eb643b0d" targetNamespace="http://schemas.microsoft.com/office/2006/metadata/properties" ma:root="true" ma:fieldsID="654ccc4b072c8ba42f6f064ab7b3a12b" ns3:_="" ns4:_="">
    <xsd:import namespace="04ec5a1a-e29c-407e-9660-cb4eaaff03ab"/>
    <xsd:import namespace="98587d8b-32ff-4694-8d3a-6f66eb643b0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element ref="ns3:MediaServiceSearchProperties" minOccurs="0"/>
                <xsd:element ref="ns3:MediaServiceLocation"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c5a1a-e29c-407e-9660-cb4eaaff0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87d8b-32ff-4694-8d3a-6f66eb643b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4ec5a1a-e29c-407e-9660-cb4eaaff03ab" xsi:nil="true"/>
  </documentManagement>
</p:properties>
</file>

<file path=customXml/item4.xml>��
</file>

<file path=customXml/itemProps1.xml><?xml version="1.0" encoding="utf-8"?>
<ds:datastoreItem xmlns:ds="http://schemas.openxmlformats.org/officeDocument/2006/customXml" ds:itemID="{8184B4C1-4F0A-455C-A4C4-43B4C034F9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c5a1a-e29c-407e-9660-cb4eaaff03ab"/>
    <ds:schemaRef ds:uri="98587d8b-32ff-4694-8d3a-6f66eb643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F14EA0-1B09-4BA6-A1E0-FED8521C2BE1}">
  <ds:schemaRefs>
    <ds:schemaRef ds:uri="http://schemas.microsoft.com/sharepoint/v3/contenttype/forms"/>
  </ds:schemaRefs>
</ds:datastoreItem>
</file>

<file path=customXml/itemProps3.xml><?xml version="1.0" encoding="utf-8"?>
<ds:datastoreItem xmlns:ds="http://schemas.openxmlformats.org/officeDocument/2006/customXml" ds:itemID="{8C00B319-165B-4AE8-A6AE-EED707A1FDFE}">
  <ds:schemaRefs>
    <ds:schemaRef ds:uri="04ec5a1a-e29c-407e-9660-cb4eaaff03ab"/>
    <ds:schemaRef ds:uri="http://purl.org/dc/terms/"/>
    <ds:schemaRef ds:uri="http://purl.org/dc/dcmitype/"/>
    <ds:schemaRef ds:uri="http://schemas.microsoft.com/office/2006/documentManagement/types"/>
    <ds:schemaRef ds:uri="http://schemas.microsoft.com/office/2006/metadata/properties"/>
    <ds:schemaRef ds:uri="98587d8b-32ff-4694-8d3a-6f66eb643b0d"/>
    <ds:schemaRef ds:uri="http://purl.org/dc/elements/1.1/"/>
    <ds:schemaRef ds:uri="http://www.w3.org/XML/1998/namespace"/>
    <ds:schemaRef ds:uri="http://schemas.microsoft.com/office/infopath/2007/PartnerControls"/>
    <ds:schemaRef ds:uri="http://schemas.openxmlformats.org/package/2006/metadata/core-properties"/>
  </ds:schemaRefs>
</ds:datastoreItem>
</file>

<file path=customXml/itemProps4.xml><?xml version="1.0" encoding="utf-8"?>
<ds:datastoreItem xmlns:ds="http://schemas.openxmlformats.org/officeDocument/2006/customXml" ds:itemID="{A567E798-6F0B-454D-A6AE-5B0397C0B0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Cleaned_Data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SLIMteSLIM</cp:lastModifiedBy>
  <cp:revision/>
  <dcterms:created xsi:type="dcterms:W3CDTF">2019-12-23T04:48:23Z</dcterms:created>
  <dcterms:modified xsi:type="dcterms:W3CDTF">2025-11-30T09:56:30Z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0x01010076A9E49C56486844AEA3493470A3BA7F</vt:lpwstr>
  </property>
</Properties>
</file>