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601"/>
  <workbookPr codeName="ThisWorkbook" hidePivotFieldList="1"/>
  <mc:AlternateContent xmlns:mc="http://schemas.openxmlformats.org/markup-compatibility/2006">
    <mc:Choice Requires="x15">
      <x15ac:absPath xmlns:x15ac="http://schemas.microsoft.com/office/spreadsheetml/2010/11/ac" url="C:\Users\SLIMteSLIM\Documents\"/>
    </mc:Choice>
  </mc:AlternateContent>
  <xr:revisionPtr revIDLastSave="0" documentId="13_ncr:1_{BB1AF53E-6A75-4A4F-B1FE-314ABB858890}" xr6:coauthVersionLast="43" xr6:coauthVersionMax="43" xr10:uidLastSave="{00000000-0000-0000-0000-000000000000}"/>
  <bookViews>
    <workbookView xWindow="-110" yWindow="-110" windowWidth="19420" windowHeight="11020" activeTab="3" xr2:uid="{FBEE0547-C1DD-4B7A-A3EB-2BA1446463BC}"/>
  </bookViews>
  <sheets>
    <sheet name="Raw" sheetId="10" r:id="rId1"/>
    <sheet name="Cleaned_Data" sheetId="11" r:id="rId2"/>
    <sheet name="Pivot Table" sheetId="15" r:id="rId3"/>
    <sheet name="Dashboard" sheetId="16" r:id="rId4"/>
  </sheets>
  <definedNames>
    <definedName name="Slicer_Name">#N/A</definedName>
    <definedName name="Slicer_Product">#N/A</definedName>
    <definedName name="Slicer_Rating">#N/A</definedName>
    <definedName name="Slicer_Region">#N/A</definedName>
    <definedName name="Slicer_Total_Cost">#N/A</definedName>
    <definedName name="Slicer_Year">#N/A</definedName>
  </definedNames>
  <calcPr calcId="181029"/>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 r:id="rId10"/>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calcFeatures>
    </ext>
  </extLst>
</workbook>
</file>

<file path=xl/calcChain.xml><?xml version="1.0" encoding="utf-8"?>
<calcChain xmlns="http://schemas.openxmlformats.org/spreadsheetml/2006/main">
  <c r="B2" i="11" l="1"/>
  <c r="B3" i="11"/>
  <c r="B4" i="11"/>
  <c r="B5" i="11"/>
  <c r="B6" i="11"/>
  <c r="B7" i="11"/>
  <c r="B8" i="11"/>
  <c r="B9" i="11"/>
  <c r="B10" i="11"/>
  <c r="B11" i="11"/>
  <c r="B12" i="11"/>
  <c r="B13" i="11"/>
  <c r="B14" i="11"/>
  <c r="B15" i="11"/>
  <c r="B16" i="11"/>
  <c r="B17" i="11"/>
  <c r="B18" i="11"/>
  <c r="B19" i="11"/>
  <c r="B20" i="11"/>
  <c r="B21" i="11"/>
  <c r="B22" i="11"/>
  <c r="B23" i="11"/>
  <c r="B24" i="11"/>
  <c r="B25" i="11"/>
  <c r="B26" i="11"/>
  <c r="B27" i="11"/>
  <c r="B28" i="11"/>
  <c r="B29" i="11"/>
  <c r="K2" i="11"/>
  <c r="K3" i="11"/>
  <c r="K4" i="11"/>
  <c r="K5" i="11"/>
  <c r="K6" i="11"/>
  <c r="K7" i="11"/>
  <c r="K8" i="11"/>
  <c r="K9" i="11"/>
  <c r="K10" i="11"/>
  <c r="K11" i="11"/>
  <c r="K12" i="11"/>
  <c r="K13" i="11"/>
  <c r="K14" i="11"/>
  <c r="K15" i="11"/>
  <c r="K16" i="11"/>
  <c r="K17" i="11"/>
  <c r="K18" i="11"/>
  <c r="K19" i="11"/>
  <c r="K20" i="11"/>
  <c r="K21" i="11"/>
  <c r="K22" i="11"/>
  <c r="K23" i="11"/>
  <c r="K24" i="11"/>
  <c r="K25" i="11"/>
  <c r="K26" i="11"/>
  <c r="K27" i="11"/>
  <c r="K28" i="11"/>
  <c r="K29" i="11"/>
  <c r="I2" i="11"/>
  <c r="I3" i="11"/>
  <c r="I4" i="11"/>
  <c r="I5" i="11"/>
  <c r="I6" i="11"/>
  <c r="I7" i="11"/>
  <c r="I8" i="11"/>
  <c r="I9" i="11"/>
  <c r="I10" i="11"/>
  <c r="I11" i="11"/>
  <c r="I12" i="11"/>
  <c r="I13" i="11"/>
  <c r="I14" i="11"/>
  <c r="I15" i="11"/>
  <c r="I16" i="11"/>
  <c r="I17" i="11"/>
  <c r="I18" i="11"/>
  <c r="I19" i="11"/>
  <c r="I20" i="11"/>
  <c r="I21" i="11"/>
  <c r="I22" i="11"/>
  <c r="I23" i="11"/>
  <c r="I24" i="11"/>
  <c r="I25" i="11"/>
  <c r="I26" i="11"/>
  <c r="I27" i="11"/>
  <c r="I28" i="11"/>
  <c r="I29" i="11"/>
  <c r="D37" i="15"/>
  <c r="A37" i="1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2C33EFF-4771-4A58-8583-233235A7D870}" keepAlive="1" name="Query - Table1" description="Connection to the 'Table1' query in the workbook." type="5" refreshedVersion="6" background="1" saveData="1">
    <dbPr connection="Provider=Microsoft.Mashup.OleDb.1;Data Source=$Workbook$;Location=Table1;Extended Properties=&quot;&quot;" command="SELECT * FROM [Table1]"/>
  </connection>
</connections>
</file>

<file path=xl/sharedStrings.xml><?xml version="1.0" encoding="utf-8"?>
<sst xmlns="http://schemas.openxmlformats.org/spreadsheetml/2006/main" count="371" uniqueCount="104">
  <si>
    <t>Date</t>
  </si>
  <si>
    <t>ID</t>
  </si>
  <si>
    <t>Name</t>
  </si>
  <si>
    <t>Region</t>
  </si>
  <si>
    <t>Rating</t>
  </si>
  <si>
    <t>Product</t>
  </si>
  <si>
    <t>Quantity</t>
  </si>
  <si>
    <t>Price Per Unit</t>
  </si>
  <si>
    <t xml:space="preserve">John Smith   </t>
  </si>
  <si>
    <t>North</t>
  </si>
  <si>
    <t>Good</t>
  </si>
  <si>
    <t>Magic Wand</t>
  </si>
  <si>
    <t>Jane Doe</t>
  </si>
  <si>
    <t>East</t>
  </si>
  <si>
    <t>Excelent</t>
  </si>
  <si>
    <t>Unicorn Horn</t>
  </si>
  <si>
    <t>Mike   Tyson</t>
  </si>
  <si>
    <t>West</t>
  </si>
  <si>
    <t>Poor</t>
  </si>
  <si>
    <t>Boxing Gloves</t>
  </si>
  <si>
    <t>inf</t>
  </si>
  <si>
    <t>Anna   Belle</t>
  </si>
  <si>
    <t>South</t>
  </si>
  <si>
    <t>Average</t>
  </si>
  <si>
    <t>Fairy Dust</t>
  </si>
  <si>
    <t>Chris P. Bacon</t>
  </si>
  <si>
    <t>Bacon Scented Candle</t>
  </si>
  <si>
    <t>Peter   Parker</t>
  </si>
  <si>
    <t>Web Shooter</t>
  </si>
  <si>
    <t>Mary Jane</t>
  </si>
  <si>
    <t>Potent Potion</t>
  </si>
  <si>
    <t>Bruce Wayne</t>
  </si>
  <si>
    <t>Bat Signal</t>
  </si>
  <si>
    <t>Clark Kent</t>
  </si>
  <si>
    <t>Glasses with X-ray Vision</t>
  </si>
  <si>
    <t>Diana Prince</t>
  </si>
  <si>
    <t>Lasso of Truth</t>
  </si>
  <si>
    <t>Tony Stark</t>
  </si>
  <si>
    <t>Iron Man Suit</t>
  </si>
  <si>
    <t>Steve Rogers</t>
  </si>
  <si>
    <t>Captain America Shield</t>
  </si>
  <si>
    <t>Natasha Romanoff</t>
  </si>
  <si>
    <t>Black Widow's Bite</t>
  </si>
  <si>
    <t>Bruce Banner</t>
  </si>
  <si>
    <t>Gamma Radiation Serum</t>
  </si>
  <si>
    <t>Nick Fury</t>
  </si>
  <si>
    <t>Eye Patch</t>
  </si>
  <si>
    <t>Phil Coulson</t>
  </si>
  <si>
    <t>Agent ID Card</t>
  </si>
  <si>
    <t>Peggy Carter</t>
  </si>
  <si>
    <t>Vintage Pistol</t>
  </si>
  <si>
    <t>Howard Stark</t>
  </si>
  <si>
    <t>Arc Reactor</t>
  </si>
  <si>
    <t>Hank Pym</t>
  </si>
  <si>
    <t>Ant-Man Suit</t>
  </si>
  <si>
    <t>Janet van Dyne</t>
  </si>
  <si>
    <t>Wasp's Wings</t>
  </si>
  <si>
    <t>Kurt Busiek</t>
  </si>
  <si>
    <t>Comic Book</t>
  </si>
  <si>
    <t>George Perez</t>
  </si>
  <si>
    <t>Drawing Pad</t>
  </si>
  <si>
    <t>Roger Stern</t>
  </si>
  <si>
    <t>Notepads</t>
  </si>
  <si>
    <t>Tom DeFalco</t>
  </si>
  <si>
    <t>Pen Set</t>
  </si>
  <si>
    <t>Loki Laufeyson</t>
  </si>
  <si>
    <t>Asgard</t>
  </si>
  <si>
    <t>Mischief</t>
  </si>
  <si>
    <t>Trickster's Hat</t>
  </si>
  <si>
    <t>Thor Odinson</t>
  </si>
  <si>
    <t>Worthy</t>
  </si>
  <si>
    <t>Mjolnir</t>
  </si>
  <si>
    <t>Spy</t>
  </si>
  <si>
    <t>Spy Kit</t>
  </si>
  <si>
    <t>Leader</t>
  </si>
  <si>
    <t>Leadership Manual</t>
  </si>
  <si>
    <t>Mike Tyson</t>
  </si>
  <si>
    <t>Anna Belle</t>
  </si>
  <si>
    <t>Peter Parker</t>
  </si>
  <si>
    <t>John Smith</t>
  </si>
  <si>
    <t>Unknown</t>
  </si>
  <si>
    <t>Status</t>
  </si>
  <si>
    <t>Total Cost</t>
  </si>
  <si>
    <t>Sum of Total Cost</t>
  </si>
  <si>
    <t>Row Labels</t>
  </si>
  <si>
    <t>Grand Total</t>
  </si>
  <si>
    <t>Sum of Quantity</t>
  </si>
  <si>
    <t>Count of Rating</t>
  </si>
  <si>
    <t>SALES PERFORMANCE DASHBOARD</t>
  </si>
  <si>
    <t>Year</t>
  </si>
  <si>
    <t>TOTAL SALES</t>
  </si>
  <si>
    <t>QTY SOLD</t>
  </si>
  <si>
    <t>Jan</t>
  </si>
  <si>
    <t>Feb</t>
  </si>
  <si>
    <t>Mar</t>
  </si>
  <si>
    <t>Apr</t>
  </si>
  <si>
    <t>May</t>
  </si>
  <si>
    <t>Jun</t>
  </si>
  <si>
    <t>Jul</t>
  </si>
  <si>
    <t>Aug</t>
  </si>
  <si>
    <t>Sep</t>
  </si>
  <si>
    <t>Oct</t>
  </si>
  <si>
    <t>Nov</t>
  </si>
  <si>
    <t>Dec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</si>
</sst>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quot;$&quot;#,##0.00_);[Red]\(&quot;$&quot;#,##0.00\)"/>
    <numFmt numFmtId="43" formatCode="_(* #,##0.00_);_(* \(#,##0.00\);_(* &quot;-&quot;??_);_(@_)"/>
    <numFmt numFmtId="164" formatCode="_(* #,##0_);_(* \(#,##0\);_(* &quot;-&quot;??_);_(@_)"/>
    <numFmt numFmtId="165" formatCode="yyyy"/>
  </numFmts>
  <fonts count="6" x14ac:knownFonts="1">
    <font>
      <sz val="11"/>
      <color theme="1"/>
      <name val="Calibri"/>
      <family val="2"/>
      <scheme val="minor"/>
    </font>
    <font>
      <b/>
      <sz val="11"/>
      <color rgb="FF000000"/>
      <name val="Calibri"/>
      <family val="2"/>
      <scheme val="minor"/>
    </font>
    <font>
      <sz val="11"/>
      <color rgb="FF000000"/>
      <name val="Calibri"/>
      <family val="2"/>
      <scheme val="minor"/>
    </font>
    <font>
      <sz val="11"/>
      <color theme="1"/>
      <name val="Calibri"/>
      <family val="2"/>
      <scheme val="minor"/>
    </font>
    <font>
      <b/>
      <sz val="11"/>
      <color theme="1"/>
      <name val="Calibri"/>
      <family val="2"/>
      <scheme val="minor"/>
    </font>
    <font>
      <b/>
      <sz val="20"/>
      <color theme="0"/>
      <name val="Calibri"/>
      <family val="2"/>
      <scheme val="minor"/>
    </font>
  </fonts>
  <fills count="4">
    <fill>
      <patternFill patternType="none"/>
    </fill>
    <fill>
      <patternFill patternType="gray125"/>
    </fill>
    <fill>
      <patternFill patternType="solid">
        <fgColor theme="0" tint="-4.9989318521683403E-2"/>
        <bgColor indexed="64"/>
      </patternFill>
    </fill>
    <fill>
      <patternFill patternType="solid">
        <fgColor theme="0" tint="-0.34998626667073579"/>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s>
  <cellStyleXfs count="2">
    <xf numFmtId="0" fontId="0" fillId="0" borderId="0"/>
    <xf numFmtId="43" fontId="3" fillId="0" borderId="0" applyFont="0" applyFill="0" applyBorder="0" applyAlignment="0" applyProtection="0"/>
  </cellStyleXfs>
  <cellXfs count="33">
    <xf numFmtId="0" fontId="0" fillId="0" borderId="0" xfId="0"/>
    <xf numFmtId="0" fontId="1" fillId="0" borderId="0" xfId="0" applyFont="1" applyAlignment="1">
      <alignment horizontal="left" vertical="top"/>
    </xf>
    <xf numFmtId="22" fontId="2" fillId="0" borderId="0" xfId="0" applyNumberFormat="1" applyFont="1"/>
    <xf numFmtId="0" fontId="2" fillId="0" borderId="0" xfId="0" applyFont="1"/>
    <xf numFmtId="8" fontId="2" fillId="0" borderId="0" xfId="0" applyNumberFormat="1" applyFont="1"/>
    <xf numFmtId="0" fontId="2" fillId="0" borderId="1" xfId="0" applyFont="1" applyBorder="1"/>
    <xf numFmtId="43" fontId="2" fillId="0" borderId="1" xfId="1" applyFont="1" applyBorder="1"/>
    <xf numFmtId="14" fontId="2" fillId="0" borderId="2" xfId="0" applyNumberFormat="1" applyFont="1" applyBorder="1"/>
    <xf numFmtId="0" fontId="2" fillId="0" borderId="3" xfId="0" applyFont="1" applyBorder="1"/>
    <xf numFmtId="43" fontId="2" fillId="0" borderId="3" xfId="1" applyFont="1" applyBorder="1"/>
    <xf numFmtId="43" fontId="2" fillId="0" borderId="4" xfId="1" applyFont="1" applyBorder="1"/>
    <xf numFmtId="14" fontId="2" fillId="0" borderId="5" xfId="0" applyNumberFormat="1" applyFont="1" applyBorder="1"/>
    <xf numFmtId="43" fontId="2" fillId="0" borderId="6" xfId="1" applyFont="1" applyBorder="1"/>
    <xf numFmtId="14" fontId="2" fillId="0" borderId="7" xfId="0" applyNumberFormat="1" applyFont="1" applyBorder="1"/>
    <xf numFmtId="0" fontId="2" fillId="0" borderId="8" xfId="0" applyFont="1" applyBorder="1"/>
    <xf numFmtId="43" fontId="2" fillId="0" borderId="8" xfId="1" applyFont="1" applyBorder="1"/>
    <xf numFmtId="43" fontId="2" fillId="0" borderId="9" xfId="1" applyFont="1" applyBorder="1"/>
    <xf numFmtId="43" fontId="0" fillId="0" borderId="0" xfId="0" applyNumberFormat="1"/>
    <xf numFmtId="0" fontId="0" fillId="2" borderId="0" xfId="0" applyFill="1"/>
    <xf numFmtId="0" fontId="0" fillId="3" borderId="0" xfId="0" applyFill="1" applyAlignment="1">
      <alignment horizontal="centerContinuous"/>
    </xf>
    <xf numFmtId="0" fontId="5" fillId="3" borderId="0" xfId="0" applyFont="1" applyFill="1" applyAlignment="1">
      <alignment horizontal="centerContinuous"/>
    </xf>
    <xf numFmtId="0" fontId="0" fillId="0" borderId="0" xfId="0" applyFill="1"/>
    <xf numFmtId="165" fontId="2" fillId="0" borderId="10" xfId="0" applyNumberFormat="1" applyFont="1" applyBorder="1"/>
    <xf numFmtId="165" fontId="2" fillId="0" borderId="11" xfId="0" applyNumberFormat="1" applyFont="1" applyBorder="1"/>
    <xf numFmtId="165" fontId="2" fillId="0" borderId="12" xfId="0" applyNumberFormat="1" applyFont="1" applyBorder="1"/>
    <xf numFmtId="0" fontId="0" fillId="0" borderId="1" xfId="0" pivotButton="1" applyBorder="1"/>
    <xf numFmtId="0" fontId="0" fillId="0" borderId="1" xfId="0" applyBorder="1"/>
    <xf numFmtId="0" fontId="0" fillId="0" borderId="1" xfId="0" applyBorder="1" applyAlignment="1">
      <alignment horizontal="left"/>
    </xf>
    <xf numFmtId="164" fontId="0" fillId="0" borderId="1" xfId="0" applyNumberFormat="1" applyBorder="1"/>
    <xf numFmtId="0" fontId="0" fillId="0" borderId="1" xfId="0" applyNumberFormat="1" applyBorder="1"/>
    <xf numFmtId="164" fontId="0" fillId="0" borderId="1" xfId="1" applyNumberFormat="1" applyFont="1" applyBorder="1"/>
    <xf numFmtId="0" fontId="4" fillId="0" borderId="1" xfId="0" applyFont="1" applyBorder="1"/>
    <xf numFmtId="14" fontId="0" fillId="0" borderId="1" xfId="0" applyNumberFormat="1" applyBorder="1" applyAlignment="1">
      <alignment horizontal="left"/>
    </xf>
  </cellXfs>
  <cellStyles count="2">
    <cellStyle name="Comma" xfId="1" builtinId="3"/>
    <cellStyle name="Normal" xfId="0" builtinId="0"/>
  </cellStyles>
  <dxfs count="61">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_(* #,##0_);_(* \(#,##0\);_(* &quot;-&quot;??_);_(@_)"/>
    </dxf>
    <dxf>
      <numFmt numFmtId="164" formatCode="_(* #,##0_);_(* \(#,##0\);_(* &quot;-&quot;??_);_(@_)"/>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_(* #,##0_);_(* \(#,##0\);_(* &quot;-&quot;??_);_(@_)"/>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_(* #,##0_);_(* \(#,##0\);_(* &quot;-&quot;??_);_(@_)"/>
    </dxf>
    <dxf>
      <numFmt numFmtId="166" formatCode="_(* #,##0.0_);_(* \(#,##0.0\);_(* &quot;-&quot;??_);_(@_)"/>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_(* #,##0_);_(* \(#,##0\);_(* &quot;-&quot;??_);_(@_)"/>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rgb="FF000000"/>
        <name val="Calibri"/>
        <family val="2"/>
        <scheme val="minor"/>
      </font>
      <border diagonalUp="0" diagonalDown="0">
        <left style="thin">
          <color indexed="64"/>
        </left>
        <right style="medium">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rgb="FF000000"/>
        <name val="Calibri"/>
        <family val="2"/>
        <scheme val="minor"/>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rgb="FF000000"/>
        <name val="Calibri"/>
        <family val="2"/>
        <scheme val="minor"/>
      </font>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rgb="FF000000"/>
        <name val="Calibri"/>
        <family val="2"/>
        <scheme val="minor"/>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rgb="FF000000"/>
        <name val="Calibri"/>
        <family val="2"/>
        <scheme val="minor"/>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rgb="FF000000"/>
        <name val="Calibri"/>
        <family val="2"/>
        <scheme val="minor"/>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rgb="FF000000"/>
        <name val="Calibri"/>
        <family val="2"/>
        <scheme val="minor"/>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rgb="FF000000"/>
        <name val="Calibri"/>
        <family val="2"/>
        <scheme val="minor"/>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rgb="FF000000"/>
        <name val="Calibri"/>
        <family val="2"/>
        <scheme val="minor"/>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rgb="FF000000"/>
        <name val="Calibri"/>
        <family val="2"/>
        <scheme val="minor"/>
      </font>
      <numFmt numFmtId="165" formatCode="yyyy"/>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rgb="FF000000"/>
        <name val="Calibri"/>
        <family val="2"/>
        <scheme val="minor"/>
      </font>
      <numFmt numFmtId="19" formatCode="m/d/yyyy"/>
      <border diagonalUp="0" diagonalDown="0">
        <left style="medium">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rgb="FF000000"/>
        <name val="Calibri"/>
        <family val="2"/>
        <scheme val="minor"/>
      </font>
    </dxf>
    <dxf>
      <font>
        <b/>
        <i val="0"/>
        <strike val="0"/>
        <condense val="0"/>
        <extend val="0"/>
        <outline val="0"/>
        <shadow val="0"/>
        <u val="none"/>
        <vertAlign val="baseline"/>
        <sz val="11"/>
        <color rgb="FF000000"/>
        <name val="Calibri"/>
        <family val="2"/>
        <scheme val="minor"/>
      </font>
      <alignment horizontal="left" vertical="top"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connections" Target="connections.xml"/><Relationship Id="rId18" Type="http://schemas.openxmlformats.org/officeDocument/2006/relationships/customXml" Target="../customXml/item2.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20" Type="http://schemas.openxmlformats.org/officeDocument/2006/relationships/customXml" Target="../customXml/item4.xml"/><Relationship Id="rId1" Type="http://schemas.openxmlformats.org/officeDocument/2006/relationships/worksheet" Target="worksheets/sheet1.xml"/><Relationship Id="rId6" Type="http://schemas.microsoft.com/office/2007/relationships/slicerCache" Target="slicerCaches/slicerCache1.xml"/><Relationship Id="rId11" Type="http://schemas.microsoft.com/office/2007/relationships/slicerCache" Target="slicerCaches/slicerCache6.xml"/><Relationship Id="rId5" Type="http://schemas.openxmlformats.org/officeDocument/2006/relationships/pivotCacheDefinition" Target="pivotCache/pivotCacheDefinition1.xml"/><Relationship Id="rId15" Type="http://schemas.openxmlformats.org/officeDocument/2006/relationships/sharedStrings" Target="sharedStrings.xml"/><Relationship Id="rId10" Type="http://schemas.microsoft.com/office/2007/relationships/slicerCache" Target="slicerCaches/slicerCache5.xml"/><Relationship Id="rId19" Type="http://schemas.openxmlformats.org/officeDocument/2006/relationships/customXml" Target="../customXml/item3.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[Excel_Cleaning &amp; Dashboard Creation.xlsx]Pivot Table!PivotTable2</c:name>
    <c:fmtId val="1"/>
  </c:pivotSource>
  <c:chart>
    <c:title>
      <c:tx>
        <c:rich>
          <a:bodyPr rot="0" spcFirstLastPara="1" vertOverflow="ellipsis" vert="horz" wrap="square" anchor="ctr" anchorCtr="1"/>
          <a:lstStyle/>
          <a:p>
            <a:pPr algn="ctr" rtl="0">
              <a:defRPr lang="en-US" sz="1400" b="1" i="0" u="none" strike="noStrike" kern="1200" cap="none" spc="20" baseline="0">
                <a:solidFill>
                  <a:schemeClr val="tx1"/>
                </a:solidFill>
                <a:latin typeface="+mn-lt"/>
                <a:ea typeface="+mn-ea"/>
                <a:cs typeface="+mn-cs"/>
              </a:defRPr>
            </a:pPr>
            <a:r>
              <a:rPr lang="en-US" sz="1400" b="1" i="0" u="none" strike="noStrike" kern="1200" cap="none" spc="20" baseline="0">
                <a:solidFill>
                  <a:schemeClr val="tx1"/>
                </a:solidFill>
                <a:latin typeface="+mn-lt"/>
                <a:ea typeface="+mn-ea"/>
                <a:cs typeface="+mn-cs"/>
              </a:rPr>
              <a:t>Total Sales Per Region</a:t>
            </a:r>
          </a:p>
        </c:rich>
      </c:tx>
      <c:overlay val="0"/>
      <c:spPr>
        <a:noFill/>
        <a:ln>
          <a:noFill/>
        </a:ln>
        <a:effectLst/>
      </c:spPr>
      <c:txPr>
        <a:bodyPr rot="0" spcFirstLastPara="1" vertOverflow="ellipsis" vert="horz" wrap="square" anchor="ctr" anchorCtr="1"/>
        <a:lstStyle/>
        <a:p>
          <a:pPr algn="ctr" rtl="0">
            <a:defRPr lang="en-US" sz="1400" b="1" i="0" u="none" strike="noStrike" kern="1200" cap="none" spc="20" baseline="0">
              <a:solidFill>
                <a:schemeClr val="tx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3">
                  <a:lumMod val="110000"/>
                  <a:satMod val="105000"/>
                  <a:tint val="67000"/>
                </a:schemeClr>
              </a:gs>
              <a:gs pos="50000">
                <a:schemeClr val="accent3">
                  <a:lumMod val="105000"/>
                  <a:satMod val="103000"/>
                  <a:tint val="73000"/>
                </a:schemeClr>
              </a:gs>
              <a:gs pos="100000">
                <a:schemeClr val="accent3">
                  <a:lumMod val="105000"/>
                  <a:satMod val="109000"/>
                  <a:tint val="81000"/>
                </a:schemeClr>
              </a:gs>
            </a:gsLst>
            <a:lin ang="5400000" scaled="0"/>
          </a:gradFill>
          <a:ln w="9525" cap="flat" cmpd="sng" algn="ctr">
            <a:solidFill>
              <a:schemeClr val="accent3">
                <a:shade val="9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Table'!$B$3</c:f>
              <c:strCache>
                <c:ptCount val="1"/>
                <c:pt idx="0">
                  <c:v>Total</c:v>
                </c:pt>
              </c:strCache>
            </c:strRef>
          </c:tx>
          <c:spPr>
            <a:gradFill rotWithShape="1">
              <a:gsLst>
                <a:gs pos="0">
                  <a:schemeClr val="accent3">
                    <a:lumMod val="110000"/>
                    <a:satMod val="105000"/>
                    <a:tint val="67000"/>
                  </a:schemeClr>
                </a:gs>
                <a:gs pos="50000">
                  <a:schemeClr val="accent3">
                    <a:lumMod val="105000"/>
                    <a:satMod val="103000"/>
                    <a:tint val="73000"/>
                  </a:schemeClr>
                </a:gs>
                <a:gs pos="100000">
                  <a:schemeClr val="accent3">
                    <a:lumMod val="105000"/>
                    <a:satMod val="109000"/>
                    <a:tint val="81000"/>
                  </a:schemeClr>
                </a:gs>
              </a:gsLst>
              <a:lin ang="5400000" scaled="0"/>
            </a:gradFill>
            <a:ln w="9525" cap="flat" cmpd="sng" algn="ctr">
              <a:solidFill>
                <a:schemeClr val="accent3">
                  <a:shade val="95000"/>
                </a:schemeClr>
              </a:solidFill>
              <a:round/>
            </a:ln>
            <a:effectLst/>
          </c:spPr>
          <c:invertIfNegative val="0"/>
          <c:cat>
            <c:strRef>
              <c:f>'Pivot Table'!$A$4:$A$10</c:f>
              <c:strCache>
                <c:ptCount val="6"/>
                <c:pt idx="0">
                  <c:v>Asgard</c:v>
                </c:pt>
                <c:pt idx="1">
                  <c:v>East</c:v>
                </c:pt>
                <c:pt idx="2">
                  <c:v>North</c:v>
                </c:pt>
                <c:pt idx="3">
                  <c:v>South</c:v>
                </c:pt>
                <c:pt idx="4">
                  <c:v>Unknown</c:v>
                </c:pt>
                <c:pt idx="5">
                  <c:v>West</c:v>
                </c:pt>
              </c:strCache>
            </c:strRef>
          </c:cat>
          <c:val>
            <c:numRef>
              <c:f>'Pivot Table'!$B$4:$B$10</c:f>
              <c:numCache>
                <c:formatCode>_(* #,##0_);_(* \(#,##0\);_(* "-"??_);_(@_)</c:formatCode>
                <c:ptCount val="6"/>
                <c:pt idx="0">
                  <c:v>4499.75</c:v>
                </c:pt>
                <c:pt idx="1">
                  <c:v>4400</c:v>
                </c:pt>
                <c:pt idx="2">
                  <c:v>2399.85</c:v>
                </c:pt>
                <c:pt idx="3">
                  <c:v>8049.9</c:v>
                </c:pt>
                <c:pt idx="4">
                  <c:v>1100.1000000000001</c:v>
                </c:pt>
                <c:pt idx="5">
                  <c:v>5950.2</c:v>
                </c:pt>
              </c:numCache>
            </c:numRef>
          </c:val>
          <c:extLst>
            <c:ext xmlns:c16="http://schemas.microsoft.com/office/drawing/2014/chart" uri="{C3380CC4-5D6E-409C-BE32-E72D297353CC}">
              <c16:uniqueId val="{00000000-8372-4B9E-B312-F3233FA68A89}"/>
            </c:ext>
          </c:extLst>
        </c:ser>
        <c:dLbls>
          <c:showLegendKey val="0"/>
          <c:showVal val="0"/>
          <c:showCatName val="0"/>
          <c:showSerName val="0"/>
          <c:showPercent val="0"/>
          <c:showBubbleSize val="0"/>
        </c:dLbls>
        <c:gapWidth val="100"/>
        <c:overlap val="-24"/>
        <c:axId val="1576121791"/>
        <c:axId val="1800293951"/>
      </c:barChart>
      <c:catAx>
        <c:axId val="15761217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1800293951"/>
        <c:crosses val="autoZero"/>
        <c:auto val="1"/>
        <c:lblAlgn val="ctr"/>
        <c:lblOffset val="100"/>
        <c:noMultiLvlLbl val="0"/>
      </c:catAx>
      <c:valAx>
        <c:axId val="1800293951"/>
        <c:scaling>
          <c:orientation val="minMax"/>
        </c:scaling>
        <c:delete val="0"/>
        <c:axPos val="l"/>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157612179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[Excel_Cleaning &amp; Dashboard Creation.xlsx]Pivot Table!PivotTable4</c:name>
    <c:fmtId val="1"/>
  </c:pivotSource>
  <c:chart>
    <c:title>
      <c:tx>
        <c:rich>
          <a:bodyPr rot="0" spcFirstLastPara="1" vertOverflow="ellipsis" vert="horz" wrap="square" anchor="ctr" anchorCtr="1"/>
          <a:lstStyle/>
          <a:p>
            <a:pPr algn="ctr" rtl="0">
              <a:defRPr lang="en-US" sz="1400" b="1" i="0" u="none" strike="noStrike" kern="1200" cap="none" spc="20" baseline="0">
                <a:solidFill>
                  <a:schemeClr val="tx1"/>
                </a:solidFill>
                <a:latin typeface="+mn-lt"/>
                <a:ea typeface="+mn-ea"/>
                <a:cs typeface="+mn-cs"/>
              </a:defRPr>
            </a:pPr>
            <a:r>
              <a:rPr lang="en-US" sz="1400" b="1" i="0" u="none" strike="noStrike" kern="1200" cap="none" spc="20" baseline="0">
                <a:solidFill>
                  <a:schemeClr val="tx1"/>
                </a:solidFill>
                <a:latin typeface="+mn-lt"/>
                <a:ea typeface="+mn-ea"/>
                <a:cs typeface="+mn-cs"/>
              </a:rPr>
              <a:t>Total Sales Per Product</a:t>
            </a:r>
          </a:p>
        </c:rich>
      </c:tx>
      <c:overlay val="0"/>
      <c:spPr>
        <a:noFill/>
        <a:ln>
          <a:noFill/>
        </a:ln>
        <a:effectLst/>
      </c:spPr>
      <c:txPr>
        <a:bodyPr rot="0" spcFirstLastPara="1" vertOverflow="ellipsis" vert="horz" wrap="square" anchor="ctr" anchorCtr="1"/>
        <a:lstStyle/>
        <a:p>
          <a:pPr algn="ctr" rtl="0">
            <a:defRPr lang="en-US" sz="1400" b="1" i="0" u="none" strike="noStrike" kern="1200" cap="none" spc="20" baseline="0">
              <a:solidFill>
                <a:schemeClr val="tx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3">
                  <a:lumMod val="110000"/>
                  <a:satMod val="105000"/>
                  <a:tint val="67000"/>
                </a:schemeClr>
              </a:gs>
              <a:gs pos="50000">
                <a:schemeClr val="accent3">
                  <a:lumMod val="105000"/>
                  <a:satMod val="103000"/>
                  <a:tint val="73000"/>
                </a:schemeClr>
              </a:gs>
              <a:gs pos="100000">
                <a:schemeClr val="accent3">
                  <a:lumMod val="105000"/>
                  <a:satMod val="109000"/>
                  <a:tint val="81000"/>
                </a:schemeClr>
              </a:gs>
            </a:gsLst>
            <a:lin ang="5400000" scaled="0"/>
          </a:gradFill>
          <a:ln w="9525" cap="flat" cmpd="sng" algn="ctr">
            <a:solidFill>
              <a:schemeClr val="accent3">
                <a:shade val="9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Table'!$H$3</c:f>
              <c:strCache>
                <c:ptCount val="1"/>
                <c:pt idx="0">
                  <c:v>Total</c:v>
                </c:pt>
              </c:strCache>
            </c:strRef>
          </c:tx>
          <c:spPr>
            <a:gradFill rotWithShape="1">
              <a:gsLst>
                <a:gs pos="0">
                  <a:schemeClr val="accent3">
                    <a:lumMod val="110000"/>
                    <a:satMod val="105000"/>
                    <a:tint val="67000"/>
                  </a:schemeClr>
                </a:gs>
                <a:gs pos="50000">
                  <a:schemeClr val="accent3">
                    <a:lumMod val="105000"/>
                    <a:satMod val="103000"/>
                    <a:tint val="73000"/>
                  </a:schemeClr>
                </a:gs>
                <a:gs pos="100000">
                  <a:schemeClr val="accent3">
                    <a:lumMod val="105000"/>
                    <a:satMod val="109000"/>
                    <a:tint val="81000"/>
                  </a:schemeClr>
                </a:gs>
              </a:gsLst>
              <a:lin ang="5400000" scaled="0"/>
            </a:gradFill>
            <a:ln w="9525" cap="flat" cmpd="sng" algn="ctr">
              <a:solidFill>
                <a:schemeClr val="accent3">
                  <a:shade val="95000"/>
                </a:schemeClr>
              </a:solidFill>
              <a:round/>
            </a:ln>
            <a:effectLst/>
          </c:spPr>
          <c:invertIfNegative val="0"/>
          <c:cat>
            <c:strRef>
              <c:f>'Pivot Table'!$G$4:$G$32</c:f>
              <c:strCache>
                <c:ptCount val="28"/>
                <c:pt idx="0">
                  <c:v>Agent ID Card</c:v>
                </c:pt>
                <c:pt idx="1">
                  <c:v>Ant-Man Suit</c:v>
                </c:pt>
                <c:pt idx="2">
                  <c:v>Arc Reactor</c:v>
                </c:pt>
                <c:pt idx="3">
                  <c:v>Bacon Scented Candle</c:v>
                </c:pt>
                <c:pt idx="4">
                  <c:v>Bat Signal</c:v>
                </c:pt>
                <c:pt idx="5">
                  <c:v>Black Widow's Bite</c:v>
                </c:pt>
                <c:pt idx="6">
                  <c:v>Boxing Gloves</c:v>
                </c:pt>
                <c:pt idx="7">
                  <c:v>Captain America Shield</c:v>
                </c:pt>
                <c:pt idx="8">
                  <c:v>Comic Book</c:v>
                </c:pt>
                <c:pt idx="9">
                  <c:v>Drawing Pad</c:v>
                </c:pt>
                <c:pt idx="10">
                  <c:v>Eye Patch</c:v>
                </c:pt>
                <c:pt idx="11">
                  <c:v>Fairy Dust</c:v>
                </c:pt>
                <c:pt idx="12">
                  <c:v>Gamma Radiation Serum</c:v>
                </c:pt>
                <c:pt idx="13">
                  <c:v>Glasses with X-ray Vision</c:v>
                </c:pt>
                <c:pt idx="14">
                  <c:v>Iron Man Suit</c:v>
                </c:pt>
                <c:pt idx="15">
                  <c:v>Lasso of Truth</c:v>
                </c:pt>
                <c:pt idx="16">
                  <c:v>Leadership Manual</c:v>
                </c:pt>
                <c:pt idx="17">
                  <c:v>Magic Wand</c:v>
                </c:pt>
                <c:pt idx="18">
                  <c:v>Mjolnir</c:v>
                </c:pt>
                <c:pt idx="19">
                  <c:v>Notepads</c:v>
                </c:pt>
                <c:pt idx="20">
                  <c:v>Pen Set</c:v>
                </c:pt>
                <c:pt idx="21">
                  <c:v>Potent Potion</c:v>
                </c:pt>
                <c:pt idx="22">
                  <c:v>Spy Kit</c:v>
                </c:pt>
                <c:pt idx="23">
                  <c:v>Trickster's Hat</c:v>
                </c:pt>
                <c:pt idx="24">
                  <c:v>Unicorn Horn</c:v>
                </c:pt>
                <c:pt idx="25">
                  <c:v>Vintage Pistol</c:v>
                </c:pt>
                <c:pt idx="26">
                  <c:v>Wasp's Wings</c:v>
                </c:pt>
                <c:pt idx="27">
                  <c:v>Web Shooter</c:v>
                </c:pt>
              </c:strCache>
            </c:strRef>
          </c:cat>
          <c:val>
            <c:numRef>
              <c:f>'Pivot Table'!$H$4:$H$32</c:f>
              <c:numCache>
                <c:formatCode>_(* #,##0_);_(* \(#,##0\);_(* "-"??_);_(@_)</c:formatCode>
                <c:ptCount val="28"/>
                <c:pt idx="0">
                  <c:v>0</c:v>
                </c:pt>
                <c:pt idx="1">
                  <c:v>1600</c:v>
                </c:pt>
                <c:pt idx="2">
                  <c:v>1499.85</c:v>
                </c:pt>
                <c:pt idx="3">
                  <c:v>500.1</c:v>
                </c:pt>
                <c:pt idx="4">
                  <c:v>600</c:v>
                </c:pt>
                <c:pt idx="5">
                  <c:v>0</c:v>
                </c:pt>
                <c:pt idx="6">
                  <c:v>0</c:v>
                </c:pt>
                <c:pt idx="7">
                  <c:v>900</c:v>
                </c:pt>
                <c:pt idx="8">
                  <c:v>1800</c:v>
                </c:pt>
                <c:pt idx="9">
                  <c:v>0</c:v>
                </c:pt>
                <c:pt idx="10">
                  <c:v>1200.1499999999999</c:v>
                </c:pt>
                <c:pt idx="11">
                  <c:v>250</c:v>
                </c:pt>
                <c:pt idx="12">
                  <c:v>1100.1000000000001</c:v>
                </c:pt>
                <c:pt idx="13">
                  <c:v>549.9</c:v>
                </c:pt>
                <c:pt idx="14">
                  <c:v>800</c:v>
                </c:pt>
                <c:pt idx="15">
                  <c:v>700</c:v>
                </c:pt>
                <c:pt idx="16">
                  <c:v>2499.85</c:v>
                </c:pt>
                <c:pt idx="17">
                  <c:v>200</c:v>
                </c:pt>
                <c:pt idx="18">
                  <c:v>2300</c:v>
                </c:pt>
                <c:pt idx="19">
                  <c:v>2000.05</c:v>
                </c:pt>
                <c:pt idx="20">
                  <c:v>2100</c:v>
                </c:pt>
                <c:pt idx="21">
                  <c:v>350</c:v>
                </c:pt>
                <c:pt idx="22">
                  <c:v>0</c:v>
                </c:pt>
                <c:pt idx="23">
                  <c:v>2199.75</c:v>
                </c:pt>
                <c:pt idx="24">
                  <c:v>150</c:v>
                </c:pt>
                <c:pt idx="25">
                  <c:v>1400</c:v>
                </c:pt>
                <c:pt idx="26">
                  <c:v>1700.05</c:v>
                </c:pt>
                <c:pt idx="27">
                  <c:v>0</c:v>
                </c:pt>
              </c:numCache>
            </c:numRef>
          </c:val>
          <c:extLst>
            <c:ext xmlns:c16="http://schemas.microsoft.com/office/drawing/2014/chart" uri="{C3380CC4-5D6E-409C-BE32-E72D297353CC}">
              <c16:uniqueId val="{00000000-8431-442F-9981-5D63D98BDEAA}"/>
            </c:ext>
          </c:extLst>
        </c:ser>
        <c:dLbls>
          <c:showLegendKey val="0"/>
          <c:showVal val="0"/>
          <c:showCatName val="0"/>
          <c:showSerName val="0"/>
          <c:showPercent val="0"/>
          <c:showBubbleSize val="0"/>
        </c:dLbls>
        <c:gapWidth val="100"/>
        <c:overlap val="-24"/>
        <c:axId val="1827543775"/>
        <c:axId val="1904410591"/>
      </c:barChart>
      <c:catAx>
        <c:axId val="18275437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1904410591"/>
        <c:crosses val="autoZero"/>
        <c:auto val="1"/>
        <c:lblAlgn val="ctr"/>
        <c:lblOffset val="100"/>
        <c:noMultiLvlLbl val="0"/>
      </c:catAx>
      <c:valAx>
        <c:axId val="1904410591"/>
        <c:scaling>
          <c:orientation val="minMax"/>
        </c:scaling>
        <c:delete val="0"/>
        <c:axPos val="l"/>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1827543775"/>
        <c:crosses val="autoZero"/>
        <c:crossBetween val="between"/>
        <c:majorUnit val="500"/>
        <c:minorUnit val="200"/>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[Excel_Cleaning &amp; Dashboard Creation.xlsx]Pivot Table!PivotTable6</c:name>
    <c:fmtId val="1"/>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Products Ratings</a:t>
            </a:r>
          </a:p>
        </c:rich>
      </c:tx>
      <c:layout>
        <c:manualLayout>
          <c:xMode val="edge"/>
          <c:yMode val="edge"/>
          <c:x val="0.26823320424840391"/>
          <c:y val="2.495543391801098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c:spPr>
      </c:pivotFmt>
      <c:pivotFmt>
        <c:idx val="3"/>
        <c:spPr>
          <a:solidFill>
            <a:schemeClr val="accent1"/>
          </a:solidFill>
          <a:ln>
            <a:noFill/>
          </a:ln>
          <a:effectLst>
            <a:outerShdw blurRad="254000" sx="102000" sy="102000" algn="ctr" rotWithShape="0">
              <a:prstClr val="black">
                <a:alpha val="20000"/>
              </a:prstClr>
            </a:outerShdw>
          </a:effectLst>
        </c:spPr>
      </c:pivotFmt>
      <c:pivotFmt>
        <c:idx val="4"/>
        <c:spPr>
          <a:solidFill>
            <a:schemeClr val="accent1"/>
          </a:solidFill>
          <a:ln>
            <a:noFill/>
          </a:ln>
          <a:effectLst>
            <a:outerShdw blurRad="254000" sx="102000" sy="102000" algn="ctr" rotWithShape="0">
              <a:prstClr val="black">
                <a:alpha val="20000"/>
              </a:prstClr>
            </a:outerShdw>
          </a:effectLst>
        </c:spPr>
      </c:pivotFmt>
      <c:pivotFmt>
        <c:idx val="5"/>
        <c:spPr>
          <a:solidFill>
            <a:schemeClr val="accent1"/>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pivotFmt>
      <c:pivotFmt>
        <c:idx val="7"/>
        <c:spPr>
          <a:solidFill>
            <a:schemeClr val="accent1"/>
          </a:solidFill>
          <a:ln>
            <a:noFill/>
          </a:ln>
          <a:effectLst>
            <a:outerShdw blurRad="254000" sx="102000" sy="102000" algn="ctr" rotWithShape="0">
              <a:prstClr val="black">
                <a:alpha val="20000"/>
              </a:prstClr>
            </a:outerShdw>
          </a:effectLst>
        </c:spPr>
      </c:pivotFmt>
      <c:pivotFmt>
        <c:idx val="8"/>
        <c:spPr>
          <a:solidFill>
            <a:schemeClr val="accent1"/>
          </a:solidFill>
          <a:ln>
            <a:noFill/>
          </a:ln>
          <a:effectLst>
            <a:outerShdw blurRad="254000" sx="102000" sy="102000" algn="ctr" rotWithShape="0">
              <a:prstClr val="black">
                <a:alpha val="20000"/>
              </a:prstClr>
            </a:outerShdw>
          </a:effectLst>
        </c:spPr>
      </c:pivotFmt>
      <c:pivotFmt>
        <c:idx val="9"/>
        <c:spPr>
          <a:solidFill>
            <a:schemeClr val="accent1"/>
          </a:solidFill>
          <a:ln>
            <a:noFill/>
          </a:ln>
          <a:effectLst>
            <a:outerShdw blurRad="254000" sx="102000" sy="102000" algn="ctr" rotWithShape="0">
              <a:prstClr val="black">
                <a:alpha val="20000"/>
              </a:prstClr>
            </a:outerShdw>
          </a:effectLst>
        </c:spPr>
      </c:pivotFmt>
    </c:pivotFmts>
    <c:plotArea>
      <c:layout/>
      <c:doughnutChart>
        <c:varyColors val="1"/>
        <c:ser>
          <c:idx val="0"/>
          <c:order val="0"/>
          <c:tx>
            <c:strRef>
              <c:f>'Pivot Table'!$B$12</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43C9-4467-BDBE-99F65A54407B}"/>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43C9-4467-BDBE-99F65A54407B}"/>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43C9-4467-BDBE-99F65A54407B}"/>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43C9-4467-BDBE-99F65A54407B}"/>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43C9-4467-BDBE-99F65A54407B}"/>
              </c:ext>
            </c:extLst>
          </c:dPt>
          <c:dPt>
            <c:idx val="5"/>
            <c:bubble3D val="0"/>
            <c:spPr>
              <a:solidFill>
                <a:schemeClr val="accent6"/>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43C9-4467-BDBE-99F65A54407B}"/>
              </c:ext>
            </c:extLst>
          </c:dPt>
          <c:dPt>
            <c:idx val="6"/>
            <c:bubble3D val="0"/>
            <c:spPr>
              <a:solidFill>
                <a:schemeClr val="accent1">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43C9-4467-BDBE-99F65A54407B}"/>
              </c:ext>
            </c:extLst>
          </c:dPt>
          <c:dPt>
            <c:idx val="7"/>
            <c:bubble3D val="0"/>
            <c:spPr>
              <a:solidFill>
                <a:schemeClr val="accent2">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43C9-4467-BDBE-99F65A54407B}"/>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Table'!$A$13:$A$21</c:f>
              <c:strCache>
                <c:ptCount val="8"/>
                <c:pt idx="0">
                  <c:v>Average</c:v>
                </c:pt>
                <c:pt idx="1">
                  <c:v>Excelent</c:v>
                </c:pt>
                <c:pt idx="2">
                  <c:v>Good</c:v>
                </c:pt>
                <c:pt idx="3">
                  <c:v>Leader</c:v>
                </c:pt>
                <c:pt idx="4">
                  <c:v>Mischief</c:v>
                </c:pt>
                <c:pt idx="5">
                  <c:v>Poor</c:v>
                </c:pt>
                <c:pt idx="6">
                  <c:v>Spy</c:v>
                </c:pt>
                <c:pt idx="7">
                  <c:v>Worthy</c:v>
                </c:pt>
              </c:strCache>
            </c:strRef>
          </c:cat>
          <c:val>
            <c:numRef>
              <c:f>'Pivot Table'!$B$13:$B$21</c:f>
              <c:numCache>
                <c:formatCode>General</c:formatCode>
                <c:ptCount val="8"/>
                <c:pt idx="0">
                  <c:v>6</c:v>
                </c:pt>
                <c:pt idx="1">
                  <c:v>6</c:v>
                </c:pt>
                <c:pt idx="2">
                  <c:v>6</c:v>
                </c:pt>
                <c:pt idx="3">
                  <c:v>1</c:v>
                </c:pt>
                <c:pt idx="4">
                  <c:v>1</c:v>
                </c:pt>
                <c:pt idx="5">
                  <c:v>6</c:v>
                </c:pt>
                <c:pt idx="6">
                  <c:v>1</c:v>
                </c:pt>
                <c:pt idx="7">
                  <c:v>1</c:v>
                </c:pt>
              </c:numCache>
            </c:numRef>
          </c:val>
          <c:extLst>
            <c:ext xmlns:c16="http://schemas.microsoft.com/office/drawing/2014/chart" uri="{C3380CC4-5D6E-409C-BE32-E72D297353CC}">
              <c16:uniqueId val="{00000010-43C9-4467-BDBE-99F65A54407B}"/>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[Excel_Cleaning &amp; Dashboard Creation.xlsx]Pivot Table!PivotTable7</c:name>
    <c:fmtId val="1"/>
  </c:pivotSource>
  <c:chart>
    <c:title>
      <c:tx>
        <c:rich>
          <a:bodyPr rot="0" spcFirstLastPara="1" vertOverflow="ellipsis" vert="horz" wrap="square" anchor="ctr" anchorCtr="1"/>
          <a:lstStyle/>
          <a:p>
            <a:pPr>
              <a:defRPr sz="1400" b="1" i="0" u="none" strike="noStrike" kern="1200" cap="none" spc="20" baseline="0">
                <a:solidFill>
                  <a:schemeClr val="tx1"/>
                </a:solidFill>
                <a:latin typeface="+mn-lt"/>
                <a:ea typeface="+mn-ea"/>
                <a:cs typeface="+mn-cs"/>
              </a:defRPr>
            </a:pPr>
            <a:r>
              <a:rPr lang="en-US" b="1">
                <a:solidFill>
                  <a:schemeClr val="tx1"/>
                </a:solidFill>
              </a:rPr>
              <a:t>Total Sales by Rating</a:t>
            </a:r>
          </a:p>
        </c:rich>
      </c:tx>
      <c:overlay val="0"/>
      <c:spPr>
        <a:noFill/>
        <a:ln>
          <a:noFill/>
        </a:ln>
        <a:effectLst/>
      </c:spPr>
      <c:txPr>
        <a:bodyPr rot="0" spcFirstLastPara="1" vertOverflow="ellipsis" vert="horz" wrap="square" anchor="ctr" anchorCtr="1"/>
        <a:lstStyle/>
        <a:p>
          <a:pPr>
            <a:defRPr sz="1400" b="1" i="0" u="none" strike="noStrike" kern="1200" cap="none" spc="20" baseline="0">
              <a:solidFill>
                <a:schemeClr val="tx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3">
                  <a:lumMod val="110000"/>
                  <a:satMod val="105000"/>
                  <a:tint val="67000"/>
                </a:schemeClr>
              </a:gs>
              <a:gs pos="50000">
                <a:schemeClr val="accent3">
                  <a:lumMod val="105000"/>
                  <a:satMod val="103000"/>
                  <a:tint val="73000"/>
                </a:schemeClr>
              </a:gs>
              <a:gs pos="100000">
                <a:schemeClr val="accent3">
                  <a:lumMod val="105000"/>
                  <a:satMod val="109000"/>
                  <a:tint val="81000"/>
                </a:schemeClr>
              </a:gs>
            </a:gsLst>
            <a:lin ang="5400000" scaled="0"/>
          </a:gradFill>
          <a:ln w="9525" cap="flat" cmpd="sng" algn="ctr">
            <a:solidFill>
              <a:schemeClr val="accent3">
                <a:shade val="9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3">
                  <a:lumMod val="110000"/>
                  <a:satMod val="105000"/>
                  <a:tint val="67000"/>
                </a:schemeClr>
              </a:gs>
              <a:gs pos="50000">
                <a:schemeClr val="accent3">
                  <a:lumMod val="105000"/>
                  <a:satMod val="103000"/>
                  <a:tint val="73000"/>
                </a:schemeClr>
              </a:gs>
              <a:gs pos="100000">
                <a:schemeClr val="accent3">
                  <a:lumMod val="105000"/>
                  <a:satMod val="109000"/>
                  <a:tint val="81000"/>
                </a:schemeClr>
              </a:gs>
            </a:gsLst>
            <a:lin ang="5400000" scaled="0"/>
          </a:gradFill>
          <a:ln w="9525" cap="flat" cmpd="sng" algn="ctr">
            <a:solidFill>
              <a:schemeClr val="accent3">
                <a:shade val="95000"/>
              </a:schemeClr>
            </a:solidFill>
            <a:round/>
          </a:ln>
          <a:effectLst/>
        </c:spPr>
      </c:pivotFmt>
      <c:pivotFmt>
        <c:idx val="3"/>
        <c:spPr>
          <a:gradFill rotWithShape="1">
            <a:gsLst>
              <a:gs pos="0">
                <a:schemeClr val="accent3">
                  <a:lumMod val="110000"/>
                  <a:satMod val="105000"/>
                  <a:tint val="67000"/>
                </a:schemeClr>
              </a:gs>
              <a:gs pos="50000">
                <a:schemeClr val="accent3">
                  <a:lumMod val="105000"/>
                  <a:satMod val="103000"/>
                  <a:tint val="73000"/>
                </a:schemeClr>
              </a:gs>
              <a:gs pos="100000">
                <a:schemeClr val="accent3">
                  <a:lumMod val="105000"/>
                  <a:satMod val="109000"/>
                  <a:tint val="81000"/>
                </a:schemeClr>
              </a:gs>
            </a:gsLst>
            <a:lin ang="5400000" scaled="0"/>
          </a:gradFill>
          <a:ln w="9525" cap="flat" cmpd="sng" algn="ctr">
            <a:solidFill>
              <a:schemeClr val="accent3">
                <a:shade val="95000"/>
              </a:schemeClr>
            </a:solidFill>
            <a:round/>
          </a:ln>
          <a:effectLst/>
        </c:spPr>
      </c:pivotFmt>
      <c:pivotFmt>
        <c:idx val="4"/>
        <c:spPr>
          <a:gradFill rotWithShape="1">
            <a:gsLst>
              <a:gs pos="0">
                <a:schemeClr val="accent3">
                  <a:lumMod val="110000"/>
                  <a:satMod val="105000"/>
                  <a:tint val="67000"/>
                </a:schemeClr>
              </a:gs>
              <a:gs pos="50000">
                <a:schemeClr val="accent3">
                  <a:lumMod val="105000"/>
                  <a:satMod val="103000"/>
                  <a:tint val="73000"/>
                </a:schemeClr>
              </a:gs>
              <a:gs pos="100000">
                <a:schemeClr val="accent3">
                  <a:lumMod val="105000"/>
                  <a:satMod val="109000"/>
                  <a:tint val="81000"/>
                </a:schemeClr>
              </a:gs>
            </a:gsLst>
            <a:lin ang="5400000" scaled="0"/>
          </a:gradFill>
          <a:ln w="9525" cap="flat" cmpd="sng" algn="ctr">
            <a:solidFill>
              <a:schemeClr val="accent3">
                <a:shade val="95000"/>
              </a:schemeClr>
            </a:solidFill>
            <a:round/>
          </a:ln>
          <a:effectLst/>
        </c:spPr>
      </c:pivotFmt>
      <c:pivotFmt>
        <c:idx val="5"/>
        <c:spPr>
          <a:gradFill rotWithShape="1">
            <a:gsLst>
              <a:gs pos="0">
                <a:schemeClr val="accent3">
                  <a:lumMod val="110000"/>
                  <a:satMod val="105000"/>
                  <a:tint val="67000"/>
                </a:schemeClr>
              </a:gs>
              <a:gs pos="50000">
                <a:schemeClr val="accent3">
                  <a:lumMod val="105000"/>
                  <a:satMod val="103000"/>
                  <a:tint val="73000"/>
                </a:schemeClr>
              </a:gs>
              <a:gs pos="100000">
                <a:schemeClr val="accent3">
                  <a:lumMod val="105000"/>
                  <a:satMod val="109000"/>
                  <a:tint val="81000"/>
                </a:schemeClr>
              </a:gs>
            </a:gsLst>
            <a:lin ang="5400000" scaled="0"/>
          </a:gradFill>
          <a:ln w="9525" cap="flat" cmpd="sng" algn="ctr">
            <a:solidFill>
              <a:schemeClr val="accent3">
                <a:shade val="95000"/>
              </a:schemeClr>
            </a:solidFill>
            <a:round/>
          </a:ln>
          <a:effectLst/>
        </c:spPr>
      </c:pivotFmt>
      <c:pivotFmt>
        <c:idx val="6"/>
        <c:spPr>
          <a:gradFill rotWithShape="1">
            <a:gsLst>
              <a:gs pos="0">
                <a:schemeClr val="accent3">
                  <a:lumMod val="110000"/>
                  <a:satMod val="105000"/>
                  <a:tint val="67000"/>
                </a:schemeClr>
              </a:gs>
              <a:gs pos="50000">
                <a:schemeClr val="accent3">
                  <a:lumMod val="105000"/>
                  <a:satMod val="103000"/>
                  <a:tint val="73000"/>
                </a:schemeClr>
              </a:gs>
              <a:gs pos="100000">
                <a:schemeClr val="accent3">
                  <a:lumMod val="105000"/>
                  <a:satMod val="109000"/>
                  <a:tint val="81000"/>
                </a:schemeClr>
              </a:gs>
            </a:gsLst>
            <a:lin ang="5400000" scaled="0"/>
          </a:gradFill>
          <a:ln w="9525" cap="flat" cmpd="sng" algn="ctr">
            <a:solidFill>
              <a:schemeClr val="accent3">
                <a:shade val="95000"/>
              </a:schemeClr>
            </a:solidFill>
            <a:round/>
          </a:ln>
          <a:effectLst/>
        </c:spPr>
      </c:pivotFmt>
      <c:pivotFmt>
        <c:idx val="7"/>
        <c:spPr>
          <a:gradFill rotWithShape="1">
            <a:gsLst>
              <a:gs pos="0">
                <a:schemeClr val="accent3">
                  <a:lumMod val="110000"/>
                  <a:satMod val="105000"/>
                  <a:tint val="67000"/>
                </a:schemeClr>
              </a:gs>
              <a:gs pos="50000">
                <a:schemeClr val="accent3">
                  <a:lumMod val="105000"/>
                  <a:satMod val="103000"/>
                  <a:tint val="73000"/>
                </a:schemeClr>
              </a:gs>
              <a:gs pos="100000">
                <a:schemeClr val="accent3">
                  <a:lumMod val="105000"/>
                  <a:satMod val="109000"/>
                  <a:tint val="81000"/>
                </a:schemeClr>
              </a:gs>
            </a:gsLst>
            <a:lin ang="5400000" scaled="0"/>
          </a:gradFill>
          <a:ln w="9525" cap="flat" cmpd="sng" algn="ctr">
            <a:solidFill>
              <a:schemeClr val="accent3">
                <a:shade val="95000"/>
              </a:schemeClr>
            </a:solidFill>
            <a:round/>
          </a:ln>
          <a:effectLst/>
        </c:spPr>
      </c:pivotFmt>
      <c:pivotFmt>
        <c:idx val="8"/>
        <c:spPr>
          <a:gradFill rotWithShape="1">
            <a:gsLst>
              <a:gs pos="0">
                <a:schemeClr val="accent3">
                  <a:lumMod val="110000"/>
                  <a:satMod val="105000"/>
                  <a:tint val="67000"/>
                </a:schemeClr>
              </a:gs>
              <a:gs pos="50000">
                <a:schemeClr val="accent3">
                  <a:lumMod val="105000"/>
                  <a:satMod val="103000"/>
                  <a:tint val="73000"/>
                </a:schemeClr>
              </a:gs>
              <a:gs pos="100000">
                <a:schemeClr val="accent3">
                  <a:lumMod val="105000"/>
                  <a:satMod val="109000"/>
                  <a:tint val="81000"/>
                </a:schemeClr>
              </a:gs>
            </a:gsLst>
            <a:lin ang="5400000" scaled="0"/>
          </a:gradFill>
          <a:ln w="9525" cap="flat" cmpd="sng" algn="ctr">
            <a:solidFill>
              <a:schemeClr val="accent3">
                <a:shade val="95000"/>
              </a:schemeClr>
            </a:solidFill>
            <a:round/>
          </a:ln>
          <a:effectLst/>
        </c:spPr>
      </c:pivotFmt>
      <c:pivotFmt>
        <c:idx val="9"/>
        <c:spPr>
          <a:gradFill rotWithShape="1">
            <a:gsLst>
              <a:gs pos="0">
                <a:schemeClr val="accent3">
                  <a:lumMod val="110000"/>
                  <a:satMod val="105000"/>
                  <a:tint val="67000"/>
                </a:schemeClr>
              </a:gs>
              <a:gs pos="50000">
                <a:schemeClr val="accent3">
                  <a:lumMod val="105000"/>
                  <a:satMod val="103000"/>
                  <a:tint val="73000"/>
                </a:schemeClr>
              </a:gs>
              <a:gs pos="100000">
                <a:schemeClr val="accent3">
                  <a:lumMod val="105000"/>
                  <a:satMod val="109000"/>
                  <a:tint val="81000"/>
                </a:schemeClr>
              </a:gs>
            </a:gsLst>
            <a:lin ang="5400000" scaled="0"/>
          </a:gradFill>
          <a:ln w="9525" cap="flat" cmpd="sng" algn="ctr">
            <a:solidFill>
              <a:schemeClr val="accent3">
                <a:shade val="95000"/>
              </a:schemeClr>
            </a:solidFill>
            <a:round/>
          </a:ln>
          <a:effectLst/>
        </c:spPr>
      </c:pivotFmt>
    </c:pivotFmts>
    <c:plotArea>
      <c:layout/>
      <c:barChart>
        <c:barDir val="col"/>
        <c:grouping val="clustered"/>
        <c:varyColors val="0"/>
        <c:ser>
          <c:idx val="0"/>
          <c:order val="0"/>
          <c:tx>
            <c:strRef>
              <c:f>'Pivot Table'!$B$23</c:f>
              <c:strCache>
                <c:ptCount val="1"/>
                <c:pt idx="0">
                  <c:v>Total</c:v>
                </c:pt>
              </c:strCache>
            </c:strRef>
          </c:tx>
          <c:spPr>
            <a:gradFill rotWithShape="1">
              <a:gsLst>
                <a:gs pos="0">
                  <a:schemeClr val="accent3">
                    <a:lumMod val="110000"/>
                    <a:satMod val="105000"/>
                    <a:tint val="67000"/>
                  </a:schemeClr>
                </a:gs>
                <a:gs pos="50000">
                  <a:schemeClr val="accent3">
                    <a:lumMod val="105000"/>
                    <a:satMod val="103000"/>
                    <a:tint val="73000"/>
                  </a:schemeClr>
                </a:gs>
                <a:gs pos="100000">
                  <a:schemeClr val="accent3">
                    <a:lumMod val="105000"/>
                    <a:satMod val="109000"/>
                    <a:tint val="81000"/>
                  </a:schemeClr>
                </a:gs>
              </a:gsLst>
              <a:lin ang="5400000" scaled="0"/>
            </a:gradFill>
            <a:ln w="9525" cap="flat" cmpd="sng" algn="ctr">
              <a:solidFill>
                <a:schemeClr val="accent3">
                  <a:shade val="95000"/>
                </a:schemeClr>
              </a:solidFill>
              <a:round/>
            </a:ln>
            <a:effectLst/>
          </c:spPr>
          <c:invertIfNegative val="0"/>
          <c:cat>
            <c:strRef>
              <c:f>'Pivot Table'!$A$24:$A$32</c:f>
              <c:strCache>
                <c:ptCount val="8"/>
                <c:pt idx="0">
                  <c:v>Average</c:v>
                </c:pt>
                <c:pt idx="1">
                  <c:v>Excelent</c:v>
                </c:pt>
                <c:pt idx="2">
                  <c:v>Good</c:v>
                </c:pt>
                <c:pt idx="3">
                  <c:v>Leader</c:v>
                </c:pt>
                <c:pt idx="4">
                  <c:v>Mischief</c:v>
                </c:pt>
                <c:pt idx="5">
                  <c:v>Poor</c:v>
                </c:pt>
                <c:pt idx="6">
                  <c:v>Spy</c:v>
                </c:pt>
                <c:pt idx="7">
                  <c:v>Worthy</c:v>
                </c:pt>
              </c:strCache>
            </c:strRef>
          </c:cat>
          <c:val>
            <c:numRef>
              <c:f>'Pivot Table'!$B$24:$B$32</c:f>
              <c:numCache>
                <c:formatCode>_(* #,##0_);_(* \(#,##0\);_(* "-"??_);_(@_)</c:formatCode>
                <c:ptCount val="8"/>
                <c:pt idx="0">
                  <c:v>5550.05</c:v>
                </c:pt>
                <c:pt idx="1">
                  <c:v>3449.95</c:v>
                </c:pt>
                <c:pt idx="2">
                  <c:v>4450</c:v>
                </c:pt>
                <c:pt idx="3">
                  <c:v>2499.85</c:v>
                </c:pt>
                <c:pt idx="4">
                  <c:v>2199.75</c:v>
                </c:pt>
                <c:pt idx="5">
                  <c:v>5950.2</c:v>
                </c:pt>
                <c:pt idx="6">
                  <c:v>0</c:v>
                </c:pt>
                <c:pt idx="7">
                  <c:v>2300</c:v>
                </c:pt>
              </c:numCache>
            </c:numRef>
          </c:val>
          <c:extLst>
            <c:ext xmlns:c16="http://schemas.microsoft.com/office/drawing/2014/chart" uri="{C3380CC4-5D6E-409C-BE32-E72D297353CC}">
              <c16:uniqueId val="{00000010-3ED9-46AA-A8E2-A3F65EFE4958}"/>
            </c:ext>
          </c:extLst>
        </c:ser>
        <c:dLbls>
          <c:showLegendKey val="0"/>
          <c:showVal val="0"/>
          <c:showCatName val="0"/>
          <c:showSerName val="0"/>
          <c:showPercent val="0"/>
          <c:showBubbleSize val="0"/>
        </c:dLbls>
        <c:gapWidth val="100"/>
        <c:overlap val="-24"/>
        <c:axId val="1828213263"/>
        <c:axId val="2080296735"/>
      </c:barChart>
      <c:catAx>
        <c:axId val="18282132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2080296735"/>
        <c:crosses val="autoZero"/>
        <c:auto val="1"/>
        <c:lblAlgn val="ctr"/>
        <c:lblOffset val="100"/>
        <c:noMultiLvlLbl val="0"/>
      </c:catAx>
      <c:valAx>
        <c:axId val="2080296735"/>
        <c:scaling>
          <c:orientation val="minMax"/>
        </c:scaling>
        <c:delete val="0"/>
        <c:axPos val="l"/>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182821326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[Excel_Cleaning &amp; Dashboard Creation.xlsx]Pivot Table!PivotTable8</c:name>
    <c:fmtId val="1"/>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 Sales Trend </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ln w="34925" cap="rnd">
            <a:solidFill>
              <a:schemeClr val="accent6"/>
            </a:solidFill>
            <a:round/>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Table'!$B$40</c:f>
              <c:strCache>
                <c:ptCount val="1"/>
                <c:pt idx="0">
                  <c:v>Total</c:v>
                </c:pt>
              </c:strCache>
            </c:strRef>
          </c:tx>
          <c:spPr>
            <a:ln w="34925" cap="rnd">
              <a:solidFill>
                <a:schemeClr val="accent6"/>
              </a:solidFill>
              <a:round/>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cat>
            <c:strRef>
              <c:f>'Pivot Table'!$A$41:$A$53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Table'!$B$41:$B$53</c:f>
              <c:numCache>
                <c:formatCode>_(* #,##0_);_(* \(#,##0\);_(* "-"??_);_(@_)</c:formatCode>
                <c:ptCount val="12"/>
                <c:pt idx="0">
                  <c:v>2399.75</c:v>
                </c:pt>
                <c:pt idx="1">
                  <c:v>3550.1000000000004</c:v>
                </c:pt>
                <c:pt idx="2">
                  <c:v>1200.1499999999999</c:v>
                </c:pt>
                <c:pt idx="3">
                  <c:v>2749.85</c:v>
                </c:pt>
                <c:pt idx="4">
                  <c:v>1900.1</c:v>
                </c:pt>
                <c:pt idx="5">
                  <c:v>1499.85</c:v>
                </c:pt>
                <c:pt idx="6">
                  <c:v>1950</c:v>
                </c:pt>
                <c:pt idx="7">
                  <c:v>2300.0500000000002</c:v>
                </c:pt>
                <c:pt idx="8">
                  <c:v>2349.9</c:v>
                </c:pt>
                <c:pt idx="9">
                  <c:v>700</c:v>
                </c:pt>
                <c:pt idx="10">
                  <c:v>2800.05</c:v>
                </c:pt>
                <c:pt idx="11">
                  <c:v>3000</c:v>
                </c:pt>
              </c:numCache>
            </c:numRef>
          </c:val>
          <c:smooth val="0"/>
          <c:extLst>
            <c:ext xmlns:c16="http://schemas.microsoft.com/office/drawing/2014/chart" uri="{C3380CC4-5D6E-409C-BE32-E72D297353CC}">
              <c16:uniqueId val="{00000000-12BF-42B4-BA4B-A001CE9BC002}"/>
            </c:ext>
          </c:extLst>
        </c:ser>
        <c:dLbls>
          <c:showLegendKey val="0"/>
          <c:showVal val="0"/>
          <c:showCatName val="0"/>
          <c:showSerName val="0"/>
          <c:showPercent val="0"/>
          <c:showBubbleSize val="0"/>
        </c:dLbls>
        <c:marker val="1"/>
        <c:smooth val="0"/>
        <c:axId val="1710320656"/>
        <c:axId val="1024354448"/>
      </c:lineChart>
      <c:catAx>
        <c:axId val="171032065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4354448"/>
        <c:crosses val="autoZero"/>
        <c:auto val="1"/>
        <c:lblAlgn val="ctr"/>
        <c:lblOffset val="100"/>
        <c:noMultiLvlLbl val="0"/>
      </c:catAx>
      <c:valAx>
        <c:axId val="1024354448"/>
        <c:scaling>
          <c:orientation val="minMax"/>
        </c:scaling>
        <c:delete val="0"/>
        <c:axPos val="l"/>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032065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3">
  <a:schemeClr val="accent3"/>
</cs:colorStyle>
</file>

<file path=xl/charts/colors2.xml><?xml version="1.0" encoding="utf-8"?>
<cs:colorStyle xmlns:cs="http://schemas.microsoft.com/office/drawing/2012/chartStyle" xmlns:a="http://schemas.openxmlformats.org/drawingml/2006/main" meth="withinLinear" id="16">
  <a:schemeClr val="accent3"/>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6">
  <a:schemeClr val="accent3"/>
</cs:colorStyle>
</file>

<file path=xl/charts/colors5.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11</xdr:col>
      <xdr:colOff>317500</xdr:colOff>
      <xdr:row>2</xdr:row>
      <xdr:rowOff>25400</xdr:rowOff>
    </xdr:from>
    <xdr:to>
      <xdr:col>14</xdr:col>
      <xdr:colOff>317500</xdr:colOff>
      <xdr:row>15</xdr:row>
      <xdr:rowOff>155575</xdr:rowOff>
    </xdr:to>
    <mc:AlternateContent xmlns:mc="http://schemas.openxmlformats.org/markup-compatibility/2006" xmlns:a14="http://schemas.microsoft.com/office/drawing/2010/main">
      <mc:Choice Requires="a14">
        <xdr:graphicFrame macro="">
          <xdr:nvGraphicFramePr>
            <xdr:cNvPr id="11" name="Name">
              <a:extLst>
                <a:ext uri="{FF2B5EF4-FFF2-40B4-BE49-F238E27FC236}">
                  <a16:creationId xmlns:a16="http://schemas.microsoft.com/office/drawing/2014/main" id="{DAAD6A25-EE1E-4EF9-8623-192512BB0E64}"/>
                </a:ext>
              </a:extLst>
            </xdr:cNvPr>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10976429" y="388257"/>
              <a:ext cx="1823357" cy="248874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469900</xdr:colOff>
      <xdr:row>2</xdr:row>
      <xdr:rowOff>25400</xdr:rowOff>
    </xdr:from>
    <xdr:to>
      <xdr:col>17</xdr:col>
      <xdr:colOff>469900</xdr:colOff>
      <xdr:row>15</xdr:row>
      <xdr:rowOff>155575</xdr:rowOff>
    </xdr:to>
    <mc:AlternateContent xmlns:mc="http://schemas.openxmlformats.org/markup-compatibility/2006" xmlns:a14="http://schemas.microsoft.com/office/drawing/2010/main">
      <mc:Choice Requires="a14">
        <xdr:graphicFrame macro="">
          <xdr:nvGraphicFramePr>
            <xdr:cNvPr id="12" name="Region">
              <a:extLst>
                <a:ext uri="{FF2B5EF4-FFF2-40B4-BE49-F238E27FC236}">
                  <a16:creationId xmlns:a16="http://schemas.microsoft.com/office/drawing/2014/main" id="{1520F013-0DA1-47A1-938D-D64B49FEEF72}"/>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2952186" y="388257"/>
              <a:ext cx="1823357" cy="248874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273050</xdr:colOff>
      <xdr:row>16</xdr:row>
      <xdr:rowOff>38100</xdr:rowOff>
    </xdr:from>
    <xdr:to>
      <xdr:col>11</xdr:col>
      <xdr:colOff>273049</xdr:colOff>
      <xdr:row>29</xdr:row>
      <xdr:rowOff>168275</xdr:rowOff>
    </xdr:to>
    <mc:AlternateContent xmlns:mc="http://schemas.openxmlformats.org/markup-compatibility/2006" xmlns:a14="http://schemas.microsoft.com/office/drawing/2010/main">
      <mc:Choice Requires="a14">
        <xdr:graphicFrame macro="">
          <xdr:nvGraphicFramePr>
            <xdr:cNvPr id="13" name="Rating">
              <a:extLst>
                <a:ext uri="{FF2B5EF4-FFF2-40B4-BE49-F238E27FC236}">
                  <a16:creationId xmlns:a16="http://schemas.microsoft.com/office/drawing/2014/main" id="{D40BD9DA-C45D-4250-9863-0229B6310C80}"/>
                </a:ext>
              </a:extLst>
            </xdr:cNvPr>
            <xdr:cNvGraphicFramePr/>
          </xdr:nvGraphicFramePr>
          <xdr:xfrm>
            <a:off x="0" y="0"/>
            <a:ext cx="0" cy="0"/>
          </xdr:xfrm>
          <a:graphic>
            <a:graphicData uri="http://schemas.microsoft.com/office/drawing/2010/slicer">
              <sle:slicer xmlns:sle="http://schemas.microsoft.com/office/drawing/2010/slicer" name="Rating"/>
            </a:graphicData>
          </a:graphic>
        </xdr:graphicFrame>
      </mc:Choice>
      <mc:Fallback xmlns="">
        <xdr:sp macro="" textlink="">
          <xdr:nvSpPr>
            <xdr:cNvPr id="0" name=""/>
            <xdr:cNvSpPr>
              <a:spLocks noTextEdit="1"/>
            </xdr:cNvSpPr>
          </xdr:nvSpPr>
          <xdr:spPr>
            <a:xfrm>
              <a:off x="9108621" y="2940957"/>
              <a:ext cx="1823357" cy="248874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349250</xdr:colOff>
      <xdr:row>16</xdr:row>
      <xdr:rowOff>50800</xdr:rowOff>
    </xdr:from>
    <xdr:to>
      <xdr:col>14</xdr:col>
      <xdr:colOff>349250</xdr:colOff>
      <xdr:row>29</xdr:row>
      <xdr:rowOff>180975</xdr:rowOff>
    </xdr:to>
    <mc:AlternateContent xmlns:mc="http://schemas.openxmlformats.org/markup-compatibility/2006" xmlns:a14="http://schemas.microsoft.com/office/drawing/2010/main">
      <mc:Choice Requires="a14">
        <xdr:graphicFrame macro="">
          <xdr:nvGraphicFramePr>
            <xdr:cNvPr id="14" name="Product">
              <a:extLst>
                <a:ext uri="{FF2B5EF4-FFF2-40B4-BE49-F238E27FC236}">
                  <a16:creationId xmlns:a16="http://schemas.microsoft.com/office/drawing/2014/main" id="{AB47A3ED-9CA0-4C45-873D-E9C09E4AD406}"/>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11008179" y="2953657"/>
              <a:ext cx="1823357" cy="248874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488950</xdr:colOff>
      <xdr:row>16</xdr:row>
      <xdr:rowOff>50800</xdr:rowOff>
    </xdr:from>
    <xdr:to>
      <xdr:col>17</xdr:col>
      <xdr:colOff>488950</xdr:colOff>
      <xdr:row>29</xdr:row>
      <xdr:rowOff>180975</xdr:rowOff>
    </xdr:to>
    <mc:AlternateContent xmlns:mc="http://schemas.openxmlformats.org/markup-compatibility/2006" xmlns:a14="http://schemas.microsoft.com/office/drawing/2010/main">
      <mc:Choice Requires="a14">
        <xdr:graphicFrame macro="">
          <xdr:nvGraphicFramePr>
            <xdr:cNvPr id="16" name="Total Cost">
              <a:extLst>
                <a:ext uri="{FF2B5EF4-FFF2-40B4-BE49-F238E27FC236}">
                  <a16:creationId xmlns:a16="http://schemas.microsoft.com/office/drawing/2014/main" id="{2AD95038-FA1E-4066-93CD-8025E510AAB3}"/>
                </a:ext>
              </a:extLst>
            </xdr:cNvPr>
            <xdr:cNvGraphicFramePr/>
          </xdr:nvGraphicFramePr>
          <xdr:xfrm>
            <a:off x="0" y="0"/>
            <a:ext cx="0" cy="0"/>
          </xdr:xfrm>
          <a:graphic>
            <a:graphicData uri="http://schemas.microsoft.com/office/drawing/2010/slicer">
              <sle:slicer xmlns:sle="http://schemas.microsoft.com/office/drawing/2010/slicer" name="Total Cost"/>
            </a:graphicData>
          </a:graphic>
        </xdr:graphicFrame>
      </mc:Choice>
      <mc:Fallback xmlns="">
        <xdr:sp macro="" textlink="">
          <xdr:nvSpPr>
            <xdr:cNvPr id="0" name=""/>
            <xdr:cNvSpPr>
              <a:spLocks noTextEdit="1"/>
            </xdr:cNvSpPr>
          </xdr:nvSpPr>
          <xdr:spPr>
            <a:xfrm>
              <a:off x="12971236" y="2953657"/>
              <a:ext cx="1823357" cy="248874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254000</xdr:colOff>
      <xdr:row>2</xdr:row>
      <xdr:rowOff>63500</xdr:rowOff>
    </xdr:from>
    <xdr:to>
      <xdr:col>11</xdr:col>
      <xdr:colOff>259442</xdr:colOff>
      <xdr:row>16</xdr:row>
      <xdr:rowOff>47625</xdr:rowOff>
    </xdr:to>
    <mc:AlternateContent xmlns:mc="http://schemas.openxmlformats.org/markup-compatibility/2006" xmlns:a14="http://schemas.microsoft.com/office/drawing/2010/main">
      <mc:Choice Requires="a14">
        <xdr:graphicFrame macro="">
          <xdr:nvGraphicFramePr>
            <xdr:cNvPr id="19" name="Year">
              <a:extLst>
                <a:ext uri="{FF2B5EF4-FFF2-40B4-BE49-F238E27FC236}">
                  <a16:creationId xmlns:a16="http://schemas.microsoft.com/office/drawing/2014/main" id="{74FDD946-82C1-4C04-833E-DA31B348FB8C}"/>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9089571" y="426357"/>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158839</xdr:colOff>
      <xdr:row>6</xdr:row>
      <xdr:rowOff>67684</xdr:rowOff>
    </xdr:from>
    <xdr:to>
      <xdr:col>9</xdr:col>
      <xdr:colOff>533716</xdr:colOff>
      <xdr:row>21</xdr:row>
      <xdr:rowOff>123473</xdr:rowOff>
    </xdr:to>
    <xdr:graphicFrame macro="">
      <xdr:nvGraphicFramePr>
        <xdr:cNvPr id="2" name="Chart 7">
          <a:extLst>
            <a:ext uri="{FF2B5EF4-FFF2-40B4-BE49-F238E27FC236}">
              <a16:creationId xmlns:a16="http://schemas.microsoft.com/office/drawing/2014/main" id="{F4E8A55D-332A-4806-B753-62D2EB2A36F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340265</xdr:colOff>
      <xdr:row>7</xdr:row>
      <xdr:rowOff>19078</xdr:rowOff>
    </xdr:from>
    <xdr:to>
      <xdr:col>26</xdr:col>
      <xdr:colOff>75606</xdr:colOff>
      <xdr:row>21</xdr:row>
      <xdr:rowOff>155605</xdr:rowOff>
    </xdr:to>
    <xdr:graphicFrame macro="">
      <xdr:nvGraphicFramePr>
        <xdr:cNvPr id="3" name="Chart 8">
          <a:extLst>
            <a:ext uri="{FF2B5EF4-FFF2-40B4-BE49-F238E27FC236}">
              <a16:creationId xmlns:a16="http://schemas.microsoft.com/office/drawing/2014/main" id="{CEA3CFE6-3E9B-43EE-870D-AD50E72A96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587658</xdr:colOff>
      <xdr:row>5</xdr:row>
      <xdr:rowOff>145706</xdr:rowOff>
    </xdr:from>
    <xdr:to>
      <xdr:col>17</xdr:col>
      <xdr:colOff>375090</xdr:colOff>
      <xdr:row>23</xdr:row>
      <xdr:rowOff>9182</xdr:rowOff>
    </xdr:to>
    <xdr:graphicFrame macro="">
      <xdr:nvGraphicFramePr>
        <xdr:cNvPr id="4" name="Chart 16">
          <a:extLst>
            <a:ext uri="{FF2B5EF4-FFF2-40B4-BE49-F238E27FC236}">
              <a16:creationId xmlns:a16="http://schemas.microsoft.com/office/drawing/2014/main" id="{C79157CE-59E2-4AA4-BEDF-749990BDB3F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565588</xdr:colOff>
      <xdr:row>23</xdr:row>
      <xdr:rowOff>90571</xdr:rowOff>
    </xdr:from>
    <xdr:to>
      <xdr:col>12</xdr:col>
      <xdr:colOff>329732</xdr:colOff>
      <xdr:row>40</xdr:row>
      <xdr:rowOff>163141</xdr:rowOff>
    </xdr:to>
    <xdr:graphicFrame macro="">
      <xdr:nvGraphicFramePr>
        <xdr:cNvPr id="5" name="Chart 17">
          <a:extLst>
            <a:ext uri="{FF2B5EF4-FFF2-40B4-BE49-F238E27FC236}">
              <a16:creationId xmlns:a16="http://schemas.microsoft.com/office/drawing/2014/main" id="{775AD68D-98A2-48C5-BCE4-BF4BDA858EB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59872</xdr:colOff>
      <xdr:row>20</xdr:row>
      <xdr:rowOff>89808</xdr:rowOff>
    </xdr:from>
    <xdr:to>
      <xdr:col>3</xdr:col>
      <xdr:colOff>59872</xdr:colOff>
      <xdr:row>31</xdr:row>
      <xdr:rowOff>90716</xdr:rowOff>
    </xdr:to>
    <mc:AlternateContent xmlns:mc="http://schemas.openxmlformats.org/markup-compatibility/2006" xmlns:a14="http://schemas.microsoft.com/office/drawing/2010/main">
      <mc:Choice Requires="a14">
        <xdr:graphicFrame macro="">
          <xdr:nvGraphicFramePr>
            <xdr:cNvPr id="7" name="Region 1">
              <a:extLst>
                <a:ext uri="{FF2B5EF4-FFF2-40B4-BE49-F238E27FC236}">
                  <a16:creationId xmlns:a16="http://schemas.microsoft.com/office/drawing/2014/main" id="{A14A5485-6B5E-4027-AC87-C408AB4DC948}"/>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59872" y="4008665"/>
              <a:ext cx="1823357" cy="199662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62365</xdr:colOff>
      <xdr:row>6</xdr:row>
      <xdr:rowOff>62367</xdr:rowOff>
    </xdr:from>
    <xdr:to>
      <xdr:col>3</xdr:col>
      <xdr:colOff>57603</xdr:colOff>
      <xdr:row>20</xdr:row>
      <xdr:rowOff>30617</xdr:rowOff>
    </xdr:to>
    <mc:AlternateContent xmlns:mc="http://schemas.openxmlformats.org/markup-compatibility/2006" xmlns:a14="http://schemas.microsoft.com/office/drawing/2010/main">
      <mc:Choice Requires="a14">
        <xdr:graphicFrame macro="">
          <xdr:nvGraphicFramePr>
            <xdr:cNvPr id="11" name="Year 1">
              <a:extLst>
                <a:ext uri="{FF2B5EF4-FFF2-40B4-BE49-F238E27FC236}">
                  <a16:creationId xmlns:a16="http://schemas.microsoft.com/office/drawing/2014/main" id="{E64C290B-11F5-403B-A80F-5BA3D43991F6}"/>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62365" y="1441224"/>
              <a:ext cx="1818595" cy="25082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444499</xdr:colOff>
      <xdr:row>2</xdr:row>
      <xdr:rowOff>123598</xdr:rowOff>
    </xdr:from>
    <xdr:to>
      <xdr:col>12</xdr:col>
      <xdr:colOff>233985</xdr:colOff>
      <xdr:row>5</xdr:row>
      <xdr:rowOff>155348</xdr:rowOff>
    </xdr:to>
    <xdr:grpSp>
      <xdr:nvGrpSpPr>
        <xdr:cNvPr id="8" name="Group 7">
          <a:extLst>
            <a:ext uri="{FF2B5EF4-FFF2-40B4-BE49-F238E27FC236}">
              <a16:creationId xmlns:a16="http://schemas.microsoft.com/office/drawing/2014/main" id="{5001FA9C-76F6-41B3-8876-1F36133E494C}"/>
            </a:ext>
          </a:extLst>
        </xdr:cNvPr>
        <xdr:cNvGrpSpPr/>
      </xdr:nvGrpSpPr>
      <xdr:grpSpPr>
        <a:xfrm>
          <a:off x="5306785" y="776741"/>
          <a:ext cx="2220629" cy="576036"/>
          <a:chOff x="3328308" y="611187"/>
          <a:chExt cx="1468438" cy="579437"/>
        </a:xfrm>
      </xdr:grpSpPr>
      <xdr:sp macro="" textlink="'Pivot Table'!A37">
        <xdr:nvSpPr>
          <xdr:cNvPr id="15" name="Rectangle 14">
            <a:extLst>
              <a:ext uri="{FF2B5EF4-FFF2-40B4-BE49-F238E27FC236}">
                <a16:creationId xmlns:a16="http://schemas.microsoft.com/office/drawing/2014/main" id="{7A89216C-FF8C-47E2-929A-548D7CEBAE72}"/>
              </a:ext>
            </a:extLst>
          </xdr:cNvPr>
          <xdr:cNvSpPr/>
        </xdr:nvSpPr>
        <xdr:spPr>
          <a:xfrm>
            <a:off x="3328308" y="611187"/>
            <a:ext cx="1468438" cy="579437"/>
          </a:xfrm>
          <a:prstGeom prst="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fld id="{B7EA5350-AAE4-4605-9E69-A6F3CE5A041C}" type="TxLink">
              <a:rPr lang="en-US" sz="1800" b="0" i="0" u="none" strike="noStrike">
                <a:solidFill>
                  <a:srgbClr val="000000"/>
                </a:solidFill>
                <a:latin typeface="Calibri"/>
                <a:cs typeface="Calibri"/>
              </a:rPr>
              <a:pPr algn="ctr"/>
              <a:t> 26,400 </a:t>
            </a:fld>
            <a:endParaRPr lang="en-US" sz="1800"/>
          </a:p>
        </xdr:txBody>
      </xdr:sp>
      <xdr:sp macro="" textlink="">
        <xdr:nvSpPr>
          <xdr:cNvPr id="6" name="TextBox 5">
            <a:extLst>
              <a:ext uri="{FF2B5EF4-FFF2-40B4-BE49-F238E27FC236}">
                <a16:creationId xmlns:a16="http://schemas.microsoft.com/office/drawing/2014/main" id="{1BA8BC96-01BE-4AE8-8071-46E39E18D9E6}"/>
              </a:ext>
            </a:extLst>
          </xdr:cNvPr>
          <xdr:cNvSpPr txBox="1"/>
        </xdr:nvSpPr>
        <xdr:spPr>
          <a:xfrm>
            <a:off x="3357115" y="619126"/>
            <a:ext cx="1405833" cy="238125"/>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t>TOTAL SALES</a:t>
            </a:r>
          </a:p>
        </xdr:txBody>
      </xdr:sp>
    </xdr:grpSp>
    <xdr:clientData/>
  </xdr:twoCellAnchor>
  <xdr:twoCellAnchor>
    <xdr:from>
      <xdr:col>14</xdr:col>
      <xdr:colOff>480105</xdr:colOff>
      <xdr:row>2</xdr:row>
      <xdr:rowOff>105907</xdr:rowOff>
    </xdr:from>
    <xdr:to>
      <xdr:col>18</xdr:col>
      <xdr:colOff>269591</xdr:colOff>
      <xdr:row>5</xdr:row>
      <xdr:rowOff>137657</xdr:rowOff>
    </xdr:to>
    <xdr:grpSp>
      <xdr:nvGrpSpPr>
        <xdr:cNvPr id="12" name="Group 11">
          <a:extLst>
            <a:ext uri="{FF2B5EF4-FFF2-40B4-BE49-F238E27FC236}">
              <a16:creationId xmlns:a16="http://schemas.microsoft.com/office/drawing/2014/main" id="{B8692A0F-51F9-47F8-8C99-A23C14C91F85}"/>
            </a:ext>
          </a:extLst>
        </xdr:cNvPr>
        <xdr:cNvGrpSpPr/>
      </xdr:nvGrpSpPr>
      <xdr:grpSpPr>
        <a:xfrm>
          <a:off x="8989105" y="759050"/>
          <a:ext cx="2220629" cy="576036"/>
          <a:chOff x="3328308" y="611187"/>
          <a:chExt cx="1468438" cy="579437"/>
        </a:xfrm>
      </xdr:grpSpPr>
      <xdr:sp macro="" textlink="'Pivot Table'!D37">
        <xdr:nvSpPr>
          <xdr:cNvPr id="13" name="Rectangle 12">
            <a:extLst>
              <a:ext uri="{FF2B5EF4-FFF2-40B4-BE49-F238E27FC236}">
                <a16:creationId xmlns:a16="http://schemas.microsoft.com/office/drawing/2014/main" id="{0D8B4EB7-F5B0-4D28-9C0E-4EEAB11C49FC}"/>
              </a:ext>
            </a:extLst>
          </xdr:cNvPr>
          <xdr:cNvSpPr/>
        </xdr:nvSpPr>
        <xdr:spPr>
          <a:xfrm>
            <a:off x="3328308" y="611187"/>
            <a:ext cx="1468438" cy="579437"/>
          </a:xfrm>
          <a:prstGeom prst="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fld id="{05B8D686-C3CF-4A60-953A-0F7341FF9439}" type="TxLink">
              <a:rPr lang="en-US" sz="1800" b="0" i="0" u="none" strike="noStrike">
                <a:solidFill>
                  <a:srgbClr val="000000"/>
                </a:solidFill>
                <a:latin typeface="Calibri"/>
                <a:cs typeface="Calibri"/>
              </a:rPr>
              <a:pPr algn="ctr"/>
              <a:t>965</a:t>
            </a:fld>
            <a:endParaRPr lang="en-US" sz="1800"/>
          </a:p>
        </xdr:txBody>
      </xdr:sp>
      <xdr:sp macro="" textlink="">
        <xdr:nvSpPr>
          <xdr:cNvPr id="14" name="TextBox 13">
            <a:extLst>
              <a:ext uri="{FF2B5EF4-FFF2-40B4-BE49-F238E27FC236}">
                <a16:creationId xmlns:a16="http://schemas.microsoft.com/office/drawing/2014/main" id="{9933E130-BC7D-4C87-988F-28E351DF33FC}"/>
              </a:ext>
            </a:extLst>
          </xdr:cNvPr>
          <xdr:cNvSpPr txBox="1"/>
        </xdr:nvSpPr>
        <xdr:spPr>
          <a:xfrm>
            <a:off x="3357115" y="619126"/>
            <a:ext cx="1405833" cy="238125"/>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t>QTY</a:t>
            </a:r>
            <a:r>
              <a:rPr lang="en-US" sz="1400" b="1" baseline="0"/>
              <a:t> SOLD</a:t>
            </a:r>
            <a:endParaRPr lang="en-US" sz="1400" b="1"/>
          </a:p>
        </xdr:txBody>
      </xdr:sp>
    </xdr:grpSp>
    <xdr:clientData/>
  </xdr:twoCellAnchor>
  <xdr:twoCellAnchor editAs="oneCell">
    <xdr:from>
      <xdr:col>0</xdr:col>
      <xdr:colOff>90713</xdr:colOff>
      <xdr:row>32</xdr:row>
      <xdr:rowOff>0</xdr:rowOff>
    </xdr:from>
    <xdr:to>
      <xdr:col>3</xdr:col>
      <xdr:colOff>90714</xdr:colOff>
      <xdr:row>45</xdr:row>
      <xdr:rowOff>130176</xdr:rowOff>
    </xdr:to>
    <mc:AlternateContent xmlns:mc="http://schemas.openxmlformats.org/markup-compatibility/2006" xmlns:a14="http://schemas.microsoft.com/office/drawing/2010/main">
      <mc:Choice Requires="a14">
        <xdr:graphicFrame macro="">
          <xdr:nvGraphicFramePr>
            <xdr:cNvPr id="16" name="Product 1">
              <a:extLst>
                <a:ext uri="{FF2B5EF4-FFF2-40B4-BE49-F238E27FC236}">
                  <a16:creationId xmlns:a16="http://schemas.microsoft.com/office/drawing/2014/main" id="{879F06BF-A96F-4B6D-A715-AF95945B2B4F}"/>
                </a:ext>
              </a:extLst>
            </xdr:cNvPr>
            <xdr:cNvGraphicFramePr/>
          </xdr:nvGraphicFramePr>
          <xdr:xfrm>
            <a:off x="0" y="0"/>
            <a:ext cx="0" cy="0"/>
          </xdr:xfrm>
          <a:graphic>
            <a:graphicData uri="http://schemas.microsoft.com/office/drawing/2010/slicer">
              <sle:slicer xmlns:sle="http://schemas.microsoft.com/office/drawing/2010/slicer" name="Product 1"/>
            </a:graphicData>
          </a:graphic>
        </xdr:graphicFrame>
      </mc:Choice>
      <mc:Fallback xmlns="">
        <xdr:sp macro="" textlink="">
          <xdr:nvSpPr>
            <xdr:cNvPr id="0" name=""/>
            <xdr:cNvSpPr>
              <a:spLocks noTextEdit="1"/>
            </xdr:cNvSpPr>
          </xdr:nvSpPr>
          <xdr:spPr>
            <a:xfrm>
              <a:off x="90713" y="6096000"/>
              <a:ext cx="1823358" cy="248874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81645</xdr:colOff>
      <xdr:row>23</xdr:row>
      <xdr:rowOff>81640</xdr:rowOff>
    </xdr:from>
    <xdr:to>
      <xdr:col>21</xdr:col>
      <xdr:colOff>580571</xdr:colOff>
      <xdr:row>40</xdr:row>
      <xdr:rowOff>36285</xdr:rowOff>
    </xdr:to>
    <xdr:graphicFrame macro="">
      <xdr:nvGraphicFramePr>
        <xdr:cNvPr id="9" name="Chart 1">
          <a:extLst>
            <a:ext uri="{FF2B5EF4-FFF2-40B4-BE49-F238E27FC236}">
              <a16:creationId xmlns:a16="http://schemas.microsoft.com/office/drawing/2014/main" id="{ED584C49-ECA7-4A7E-B305-90AEDC888D6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LIMteSLIM" refreshedDate="45990.956457638888" createdVersion="6" refreshedVersion="6" minRefreshableVersion="3" recordCount="28" xr:uid="{D5CC1D70-E697-4E93-842B-056B162E5F1D}">
  <cacheSource type="worksheet">
    <worksheetSource name="Table3"/>
  </cacheSource>
  <cacheFields count="13">
    <cacheField name="Date" numFmtId="14">
      <sharedItems containsSemiMixedTypes="0" containsNonDate="0" containsDate="1" containsString="0" minDate="2021-01-31T00:00:00" maxDate="2023-05-01T00:00:00" count="28">
        <d v="2021-01-31T00:00:00"/>
        <d v="2021-02-28T00:00:00"/>
        <d v="2021-03-31T00:00:00"/>
        <d v="2021-04-30T00:00:00"/>
        <d v="2021-05-31T00:00:00"/>
        <d v="2021-06-30T00:00:00"/>
        <d v="2021-07-31T00:00:00"/>
        <d v="2021-08-31T00:00:00"/>
        <d v="2021-09-30T00:00:00"/>
        <d v="2021-10-31T00:00:00"/>
        <d v="2021-11-30T00:00:00"/>
        <d v="2021-12-31T00:00:00"/>
        <d v="2022-01-31T00:00:00"/>
        <d v="2022-02-28T00:00:00"/>
        <d v="2022-03-31T00:00:00"/>
        <d v="2022-04-30T00:00:00"/>
        <d v="2022-05-31T00:00:00"/>
        <d v="2022-06-30T00:00:00"/>
        <d v="2022-07-31T00:00:00"/>
        <d v="2022-08-31T00:00:00"/>
        <d v="2022-09-30T00:00:00"/>
        <d v="2022-10-31T00:00:00"/>
        <d v="2022-11-30T00:00:00"/>
        <d v="2022-12-31T00:00:00"/>
        <d v="2023-01-31T00:00:00"/>
        <d v="2023-02-28T00:00:00"/>
        <d v="2023-03-31T00:00:00"/>
        <d v="2023-04-30T00:00:00"/>
      </sharedItems>
      <fieldGroup par="12" base="0">
        <rangePr groupBy="months" startDate="2021-01-31T00:00:00" endDate="2023-05-01T00:00:00"/>
        <groupItems count="14">
          <s v="&lt;1/31/2021"/>
          <s v="Jan"/>
          <s v="Feb"/>
          <s v="Mar"/>
          <s v="Apr"/>
          <s v="May"/>
          <s v="Jun"/>
          <s v="Jul"/>
          <s v="Aug"/>
          <s v="Sep"/>
          <s v="Oct"/>
          <s v="Nov"/>
          <s v="Dec"/>
          <s v="&gt;5/1/2023"/>
        </groupItems>
      </fieldGroup>
    </cacheField>
    <cacheField name="Year" numFmtId="165">
      <sharedItems containsSemiMixedTypes="0" containsNonDate="0" containsDate="1" containsString="0" minDate="2021-01-31T00:00:00" maxDate="2023-05-01T00:00:00" count="28">
        <d v="2021-01-31T00:00:00"/>
        <d v="2021-02-28T00:00:00"/>
        <d v="2021-03-31T00:00:00"/>
        <d v="2021-04-30T00:00:00"/>
        <d v="2021-05-31T00:00:00"/>
        <d v="2021-06-30T00:00:00"/>
        <d v="2021-07-31T00:00:00"/>
        <d v="2021-08-31T00:00:00"/>
        <d v="2021-09-30T00:00:00"/>
        <d v="2021-10-31T00:00:00"/>
        <d v="2021-11-30T00:00:00"/>
        <d v="2021-12-31T00:00:00"/>
        <d v="2022-01-31T00:00:00"/>
        <d v="2022-02-28T00:00:00"/>
        <d v="2022-03-31T00:00:00"/>
        <d v="2022-04-30T00:00:00"/>
        <d v="2022-05-31T00:00:00"/>
        <d v="2022-06-30T00:00:00"/>
        <d v="2022-07-31T00:00:00"/>
        <d v="2022-08-31T00:00:00"/>
        <d v="2022-09-30T00:00:00"/>
        <d v="2022-10-31T00:00:00"/>
        <d v="2022-11-30T00:00:00"/>
        <d v="2022-12-31T00:00:00"/>
        <d v="2023-01-31T00:00:00"/>
        <d v="2023-02-28T00:00:00"/>
        <d v="2023-03-31T00:00:00"/>
        <d v="2023-04-30T00:00:00"/>
      </sharedItems>
    </cacheField>
    <cacheField name="ID" numFmtId="0">
      <sharedItems containsSemiMixedTypes="0" containsString="0" containsNumber="1" containsInteger="1" minValue="1" maxValue="28"/>
    </cacheField>
    <cacheField name="Name" numFmtId="0">
      <sharedItems count="26">
        <s v="John Smith"/>
        <s v="Jane Doe"/>
        <s v="Mike Tyson"/>
        <s v="Anna Belle"/>
        <s v="Chris P. Bacon"/>
        <s v="Peter Parker"/>
        <s v="Mary Jane"/>
        <s v="Bruce Wayne"/>
        <s v="Clark Kent"/>
        <s v="Diana Prince"/>
        <s v="Tony Stark"/>
        <s v="Steve Rogers"/>
        <s v="Natasha Romanoff"/>
        <s v="Bruce Banner"/>
        <s v="Nick Fury"/>
        <s v="Phil Coulson"/>
        <s v="Peggy Carter"/>
        <s v="Howard Stark"/>
        <s v="Hank Pym"/>
        <s v="Janet van Dyne"/>
        <s v="Kurt Busiek"/>
        <s v="George Perez"/>
        <s v="Roger Stern"/>
        <s v="Tom DeFalco"/>
        <s v="Loki Laufeyson"/>
        <s v="Thor Odinson"/>
      </sharedItems>
    </cacheField>
    <cacheField name="Region" numFmtId="0">
      <sharedItems count="6">
        <s v="North"/>
        <s v="East"/>
        <s v="West"/>
        <s v="South"/>
        <s v="Unknown"/>
        <s v="Asgard"/>
      </sharedItems>
    </cacheField>
    <cacheField name="Rating" numFmtId="0">
      <sharedItems count="8">
        <s v="Good"/>
        <s v="Excelent"/>
        <s v="Poor"/>
        <s v="Average"/>
        <s v="Mischief"/>
        <s v="Worthy"/>
        <s v="Spy"/>
        <s v="Leader"/>
      </sharedItems>
    </cacheField>
    <cacheField name="Product" numFmtId="0">
      <sharedItems count="28">
        <s v="Magic Wand"/>
        <s v="Unicorn Horn"/>
        <s v="Boxing Gloves"/>
        <s v="Fairy Dust"/>
        <s v="Bacon Scented Candle"/>
        <s v="Web Shooter"/>
        <s v="Potent Potion"/>
        <s v="Bat Signal"/>
        <s v="Glasses with X-ray Vision"/>
        <s v="Lasso of Truth"/>
        <s v="Iron Man Suit"/>
        <s v="Captain America Shield"/>
        <s v="Black Widow's Bite"/>
        <s v="Gamma Radiation Serum"/>
        <s v="Eye Patch"/>
        <s v="Agent ID Card"/>
        <s v="Vintage Pistol"/>
        <s v="Arc Reactor"/>
        <s v="Ant-Man Suit"/>
        <s v="Wasp's Wings"/>
        <s v="Comic Book"/>
        <s v="Drawing Pad"/>
        <s v="Notepads"/>
        <s v="Pen Set"/>
        <s v="Trickster's Hat"/>
        <s v="Mjolnir"/>
        <s v="Spy Kit"/>
        <s v="Leadership Manual"/>
      </sharedItems>
    </cacheField>
    <cacheField name="Quantity" numFmtId="0">
      <sharedItems containsSemiMixedTypes="0" containsString="0" containsNumber="1" containsInteger="1" minValue="0" maxValue="85"/>
    </cacheField>
    <cacheField name="Status" numFmtId="0">
      <sharedItems/>
    </cacheField>
    <cacheField name="Price Per Unit" numFmtId="43">
      <sharedItems containsString="0" containsBlank="1" containsNumber="1" minValue="10" maxValue="160"/>
    </cacheField>
    <cacheField name="Total Cost" numFmtId="43">
      <sharedItems containsSemiMixedTypes="0" containsString="0" containsNumber="1" minValue="0" maxValue="2499.85" count="23">
        <n v="200"/>
        <n v="150"/>
        <n v="0"/>
        <n v="250"/>
        <n v="500.1"/>
        <n v="350"/>
        <n v="600"/>
        <n v="549.9"/>
        <n v="700"/>
        <n v="800"/>
        <n v="900"/>
        <n v="1100.1000000000001"/>
        <n v="1200.1499999999999"/>
        <n v="1400"/>
        <n v="1499.85"/>
        <n v="1600"/>
        <n v="1700.05"/>
        <n v="1800"/>
        <n v="2000.05"/>
        <n v="2100"/>
        <n v="2199.75"/>
        <n v="2300"/>
        <n v="2499.85"/>
      </sharedItems>
    </cacheField>
    <cacheField name="Quarters" numFmtId="0" databaseField="0">
      <fieldGroup base="0">
        <rangePr groupBy="quarters" startDate="2021-01-31T00:00:00" endDate="2023-05-01T00:00:00"/>
        <groupItems count="6">
          <s v="&lt;1/31/2021"/>
          <s v="Qtr1"/>
          <s v="Qtr2"/>
          <s v="Qtr3"/>
          <s v="Qtr4"/>
          <s v="&gt;5/1/2023"/>
        </groupItems>
      </fieldGroup>
    </cacheField>
    <cacheField name="Years" numFmtId="0" databaseField="0">
      <fieldGroup base="0">
        <rangePr groupBy="years" startDate="2021-01-31T00:00:00" endDate="2023-05-01T00:00:00"/>
        <groupItems count="5">
          <s v="&lt;1/31/2021"/>
          <s v="2021"/>
          <s v="2022"/>
          <s v="2023"/>
          <s v="&gt;5/1/2023"/>
        </groupItems>
      </fieldGroup>
    </cacheField>
  </cacheFields>
  <extLst>
    <ext xmlns:x14="http://schemas.microsoft.com/office/spreadsheetml/2009/9/main" uri="{725AE2AE-9491-48be-B2B4-4EB974FC3084}">
      <x14:pivotCacheDefinition pivotCacheId="179508131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
  <r>
    <x v="0"/>
    <x v="0"/>
    <n v="1"/>
    <x v="0"/>
    <x v="0"/>
    <x v="0"/>
    <x v="0"/>
    <n v="10"/>
    <s v="Valid"/>
    <n v="20"/>
    <x v="0"/>
  </r>
  <r>
    <x v="1"/>
    <x v="1"/>
    <n v="2"/>
    <x v="1"/>
    <x v="1"/>
    <x v="1"/>
    <x v="1"/>
    <n v="15"/>
    <s v="Valid"/>
    <n v="10"/>
    <x v="1"/>
  </r>
  <r>
    <x v="2"/>
    <x v="2"/>
    <n v="3"/>
    <x v="2"/>
    <x v="2"/>
    <x v="2"/>
    <x v="2"/>
    <n v="0"/>
    <s v="Invalid Qty"/>
    <m/>
    <x v="2"/>
  </r>
  <r>
    <x v="3"/>
    <x v="3"/>
    <n v="4"/>
    <x v="3"/>
    <x v="3"/>
    <x v="3"/>
    <x v="3"/>
    <n v="25"/>
    <s v="Valid"/>
    <n v="10"/>
    <x v="3"/>
  </r>
  <r>
    <x v="4"/>
    <x v="4"/>
    <n v="5"/>
    <x v="4"/>
    <x v="1"/>
    <x v="0"/>
    <x v="4"/>
    <n v="30"/>
    <s v="Valid"/>
    <n v="16.670000000000002"/>
    <x v="4"/>
  </r>
  <r>
    <x v="5"/>
    <x v="5"/>
    <n v="6"/>
    <x v="5"/>
    <x v="4"/>
    <x v="1"/>
    <x v="5"/>
    <n v="0"/>
    <s v="Invalid Qty"/>
    <m/>
    <x v="2"/>
  </r>
  <r>
    <x v="6"/>
    <x v="6"/>
    <n v="7"/>
    <x v="6"/>
    <x v="2"/>
    <x v="2"/>
    <x v="6"/>
    <n v="35"/>
    <s v="Valid"/>
    <n v="10"/>
    <x v="5"/>
  </r>
  <r>
    <x v="7"/>
    <x v="7"/>
    <n v="8"/>
    <x v="7"/>
    <x v="3"/>
    <x v="3"/>
    <x v="7"/>
    <n v="40"/>
    <s v="Valid"/>
    <n v="15"/>
    <x v="6"/>
  </r>
  <r>
    <x v="8"/>
    <x v="8"/>
    <n v="9"/>
    <x v="8"/>
    <x v="1"/>
    <x v="0"/>
    <x v="8"/>
    <n v="45"/>
    <s v="Valid"/>
    <n v="12.22"/>
    <x v="7"/>
  </r>
  <r>
    <x v="9"/>
    <x v="9"/>
    <n v="10"/>
    <x v="9"/>
    <x v="0"/>
    <x v="1"/>
    <x v="9"/>
    <n v="50"/>
    <s v="Valid"/>
    <n v="14"/>
    <x v="8"/>
  </r>
  <r>
    <x v="10"/>
    <x v="10"/>
    <n v="11"/>
    <x v="10"/>
    <x v="2"/>
    <x v="2"/>
    <x v="10"/>
    <n v="5"/>
    <s v="Valid"/>
    <n v="160"/>
    <x v="9"/>
  </r>
  <r>
    <x v="11"/>
    <x v="11"/>
    <n v="12"/>
    <x v="11"/>
    <x v="3"/>
    <x v="3"/>
    <x v="11"/>
    <n v="20"/>
    <s v="Valid"/>
    <n v="45"/>
    <x v="10"/>
  </r>
  <r>
    <x v="12"/>
    <x v="12"/>
    <n v="13"/>
    <x v="12"/>
    <x v="1"/>
    <x v="0"/>
    <x v="12"/>
    <n v="0"/>
    <s v="Invalid Qty"/>
    <m/>
    <x v="2"/>
  </r>
  <r>
    <x v="13"/>
    <x v="13"/>
    <n v="14"/>
    <x v="13"/>
    <x v="4"/>
    <x v="1"/>
    <x v="13"/>
    <n v="30"/>
    <s v="Valid"/>
    <n v="36.67"/>
    <x v="11"/>
  </r>
  <r>
    <x v="14"/>
    <x v="14"/>
    <n v="15"/>
    <x v="14"/>
    <x v="2"/>
    <x v="2"/>
    <x v="14"/>
    <n v="35"/>
    <s v="Valid"/>
    <n v="34.29"/>
    <x v="12"/>
  </r>
  <r>
    <x v="15"/>
    <x v="15"/>
    <n v="16"/>
    <x v="15"/>
    <x v="4"/>
    <x v="3"/>
    <x v="15"/>
    <n v="0"/>
    <s v="Invalid Qty"/>
    <m/>
    <x v="2"/>
  </r>
  <r>
    <x v="16"/>
    <x v="16"/>
    <n v="17"/>
    <x v="16"/>
    <x v="1"/>
    <x v="0"/>
    <x v="16"/>
    <n v="40"/>
    <s v="Valid"/>
    <n v="35"/>
    <x v="13"/>
  </r>
  <r>
    <x v="17"/>
    <x v="17"/>
    <n v="18"/>
    <x v="17"/>
    <x v="0"/>
    <x v="1"/>
    <x v="17"/>
    <n v="45"/>
    <s v="Valid"/>
    <n v="33.33"/>
    <x v="14"/>
  </r>
  <r>
    <x v="18"/>
    <x v="18"/>
    <n v="19"/>
    <x v="18"/>
    <x v="2"/>
    <x v="2"/>
    <x v="18"/>
    <n v="50"/>
    <s v="Valid"/>
    <n v="32"/>
    <x v="15"/>
  </r>
  <r>
    <x v="19"/>
    <x v="19"/>
    <n v="20"/>
    <x v="19"/>
    <x v="3"/>
    <x v="3"/>
    <x v="19"/>
    <n v="55"/>
    <s v="Valid"/>
    <n v="30.91"/>
    <x v="16"/>
  </r>
  <r>
    <x v="20"/>
    <x v="20"/>
    <n v="21"/>
    <x v="20"/>
    <x v="1"/>
    <x v="0"/>
    <x v="20"/>
    <n v="60"/>
    <s v="Valid"/>
    <n v="30"/>
    <x v="17"/>
  </r>
  <r>
    <x v="21"/>
    <x v="21"/>
    <n v="22"/>
    <x v="21"/>
    <x v="0"/>
    <x v="1"/>
    <x v="21"/>
    <n v="0"/>
    <s v="Invalid Qty"/>
    <m/>
    <x v="2"/>
  </r>
  <r>
    <x v="22"/>
    <x v="22"/>
    <n v="23"/>
    <x v="22"/>
    <x v="2"/>
    <x v="2"/>
    <x v="22"/>
    <n v="65"/>
    <s v="Valid"/>
    <n v="30.77"/>
    <x v="18"/>
  </r>
  <r>
    <x v="23"/>
    <x v="23"/>
    <n v="24"/>
    <x v="23"/>
    <x v="3"/>
    <x v="3"/>
    <x v="23"/>
    <n v="70"/>
    <s v="Valid"/>
    <n v="30"/>
    <x v="19"/>
  </r>
  <r>
    <x v="24"/>
    <x v="24"/>
    <n v="25"/>
    <x v="24"/>
    <x v="5"/>
    <x v="4"/>
    <x v="24"/>
    <n v="75"/>
    <s v="Valid"/>
    <n v="29.33"/>
    <x v="20"/>
  </r>
  <r>
    <x v="25"/>
    <x v="25"/>
    <n v="26"/>
    <x v="25"/>
    <x v="5"/>
    <x v="5"/>
    <x v="25"/>
    <n v="80"/>
    <s v="Valid"/>
    <n v="28.75"/>
    <x v="21"/>
  </r>
  <r>
    <x v="26"/>
    <x v="26"/>
    <n v="27"/>
    <x v="12"/>
    <x v="1"/>
    <x v="6"/>
    <x v="26"/>
    <n v="0"/>
    <s v="Invalid Qty"/>
    <m/>
    <x v="2"/>
  </r>
  <r>
    <x v="27"/>
    <x v="27"/>
    <n v="28"/>
    <x v="11"/>
    <x v="3"/>
    <x v="7"/>
    <x v="27"/>
    <n v="85"/>
    <s v="Valid"/>
    <n v="29.41"/>
    <x v="2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BB94629-0370-4D5D-8527-B6FD41C22577}" name="PivotTable1"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4:A35" firstHeaderRow="1" firstDataRow="1" firstDataCol="0"/>
  <pivotFields count="13">
    <pivotField numFmtId="14" showAll="0">
      <items count="15">
        <item x="0"/>
        <item x="1"/>
        <item x="2"/>
        <item x="3"/>
        <item x="4"/>
        <item x="5"/>
        <item x="6"/>
        <item x="7"/>
        <item x="8"/>
        <item x="9"/>
        <item x="10"/>
        <item x="11"/>
        <item x="12"/>
        <item x="13"/>
        <item t="default"/>
      </items>
    </pivotField>
    <pivotField numFmtId="165" showAll="0">
      <items count="29">
        <item x="0"/>
        <item x="1"/>
        <item x="2"/>
        <item x="3"/>
        <item x="4"/>
        <item x="5"/>
        <item x="6"/>
        <item x="7"/>
        <item x="8"/>
        <item x="9"/>
        <item x="10"/>
        <item x="11"/>
        <item x="12"/>
        <item x="13"/>
        <item x="14"/>
        <item x="15"/>
        <item x="16"/>
        <item x="17"/>
        <item x="18"/>
        <item x="19"/>
        <item x="20"/>
        <item x="21"/>
        <item x="22"/>
        <item x="23"/>
        <item x="24"/>
        <item x="25"/>
        <item x="26"/>
        <item x="27"/>
        <item t="default"/>
      </items>
    </pivotField>
    <pivotField showAll="0"/>
    <pivotField showAll="0">
      <items count="27">
        <item x="3"/>
        <item x="13"/>
        <item x="7"/>
        <item x="4"/>
        <item x="8"/>
        <item x="9"/>
        <item x="21"/>
        <item x="18"/>
        <item x="17"/>
        <item x="1"/>
        <item x="19"/>
        <item x="0"/>
        <item x="20"/>
        <item x="24"/>
        <item x="6"/>
        <item x="2"/>
        <item x="12"/>
        <item x="14"/>
        <item x="16"/>
        <item x="5"/>
        <item x="15"/>
        <item x="22"/>
        <item x="11"/>
        <item x="25"/>
        <item x="23"/>
        <item x="10"/>
        <item t="default"/>
      </items>
    </pivotField>
    <pivotField showAll="0">
      <items count="7">
        <item x="5"/>
        <item x="1"/>
        <item x="0"/>
        <item x="3"/>
        <item x="4"/>
        <item x="2"/>
        <item t="default"/>
      </items>
    </pivotField>
    <pivotField showAll="0">
      <items count="9">
        <item x="3"/>
        <item x="1"/>
        <item x="0"/>
        <item x="7"/>
        <item x="4"/>
        <item x="2"/>
        <item x="6"/>
        <item x="5"/>
        <item t="default"/>
      </items>
    </pivotField>
    <pivotField showAll="0">
      <items count="29">
        <item x="15"/>
        <item x="18"/>
        <item x="17"/>
        <item x="4"/>
        <item x="7"/>
        <item x="12"/>
        <item x="2"/>
        <item x="11"/>
        <item x="20"/>
        <item x="21"/>
        <item x="14"/>
        <item x="3"/>
        <item x="13"/>
        <item x="8"/>
        <item x="10"/>
        <item x="9"/>
        <item x="27"/>
        <item x="0"/>
        <item x="25"/>
        <item x="22"/>
        <item x="23"/>
        <item x="6"/>
        <item x="26"/>
        <item x="24"/>
        <item x="1"/>
        <item x="16"/>
        <item x="19"/>
        <item x="5"/>
        <item t="default"/>
      </items>
    </pivotField>
    <pivotField showAll="0"/>
    <pivotField showAll="0"/>
    <pivotField showAll="0"/>
    <pivotField dataField="1" numFmtId="43" showAll="0">
      <items count="24">
        <item x="2"/>
        <item x="1"/>
        <item x="0"/>
        <item x="3"/>
        <item x="5"/>
        <item x="4"/>
        <item x="7"/>
        <item x="6"/>
        <item x="8"/>
        <item x="9"/>
        <item x="10"/>
        <item x="11"/>
        <item x="12"/>
        <item x="13"/>
        <item x="14"/>
        <item x="15"/>
        <item x="16"/>
        <item x="17"/>
        <item x="18"/>
        <item x="19"/>
        <item x="20"/>
        <item x="21"/>
        <item x="22"/>
        <item t="default"/>
      </items>
    </pivotField>
    <pivotField showAll="0">
      <items count="7">
        <item x="0"/>
        <item x="1"/>
        <item x="2"/>
        <item x="3"/>
        <item x="4"/>
        <item x="5"/>
        <item t="default"/>
      </items>
    </pivotField>
    <pivotField showAll="0">
      <items count="6">
        <item x="0"/>
        <item x="1"/>
        <item x="2"/>
        <item x="3"/>
        <item x="4"/>
        <item t="default"/>
      </items>
    </pivotField>
  </pivotFields>
  <rowItems count="1">
    <i/>
  </rowItems>
  <colItems count="1">
    <i/>
  </colItems>
  <dataFields count="1">
    <dataField name="Sum of Total Cost" fld="10" baseField="0" baseItem="0" numFmtId="164"/>
  </dataFields>
  <formats count="4">
    <format dxfId="3">
      <pivotArea outline="0" collapsedLevelsAreSubtotals="1" fieldPosition="0"/>
    </format>
    <format dxfId="2">
      <pivotArea type="all" dataOnly="0" outline="0" fieldPosition="0"/>
    </format>
    <format dxfId="1">
      <pivotArea outline="0" collapsedLevelsAreSubtotals="1" fieldPosition="0"/>
    </format>
    <format dxfId="0">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441F6C-4B63-4441-822D-C2598DE9AD71}" name="PivotTable8"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2">
  <location ref="A40:B53" firstHeaderRow="1" firstDataRow="1" firstDataCol="1"/>
  <pivotFields count="13">
    <pivotField axis="axisRow" numFmtId="14" showAll="0">
      <items count="15">
        <item x="0"/>
        <item x="1"/>
        <item x="2"/>
        <item x="3"/>
        <item x="4"/>
        <item x="5"/>
        <item x="6"/>
        <item x="7"/>
        <item x="8"/>
        <item x="9"/>
        <item x="10"/>
        <item x="11"/>
        <item x="12"/>
        <item x="13"/>
        <item t="default"/>
      </items>
    </pivotField>
    <pivotField numFmtId="165" showAll="0">
      <items count="29">
        <item x="0"/>
        <item x="1"/>
        <item x="2"/>
        <item x="3"/>
        <item x="4"/>
        <item x="5"/>
        <item x="6"/>
        <item x="7"/>
        <item x="8"/>
        <item x="9"/>
        <item x="10"/>
        <item x="11"/>
        <item x="12"/>
        <item x="13"/>
        <item x="14"/>
        <item x="15"/>
        <item x="16"/>
        <item x="17"/>
        <item x="18"/>
        <item x="19"/>
        <item x="20"/>
        <item x="21"/>
        <item x="22"/>
        <item x="23"/>
        <item x="24"/>
        <item x="25"/>
        <item x="26"/>
        <item x="27"/>
        <item t="default"/>
      </items>
    </pivotField>
    <pivotField showAll="0"/>
    <pivotField showAll="0">
      <items count="27">
        <item x="3"/>
        <item x="13"/>
        <item x="7"/>
        <item x="4"/>
        <item x="8"/>
        <item x="9"/>
        <item x="21"/>
        <item x="18"/>
        <item x="17"/>
        <item x="1"/>
        <item x="19"/>
        <item x="0"/>
        <item x="20"/>
        <item x="24"/>
        <item x="6"/>
        <item x="2"/>
        <item x="12"/>
        <item x="14"/>
        <item x="16"/>
        <item x="5"/>
        <item x="15"/>
        <item x="22"/>
        <item x="11"/>
        <item x="25"/>
        <item x="23"/>
        <item x="10"/>
        <item t="default"/>
      </items>
    </pivotField>
    <pivotField showAll="0">
      <items count="7">
        <item x="5"/>
        <item x="1"/>
        <item x="0"/>
        <item x="3"/>
        <item x="4"/>
        <item x="2"/>
        <item t="default"/>
      </items>
    </pivotField>
    <pivotField showAll="0">
      <items count="9">
        <item x="3"/>
        <item x="1"/>
        <item x="0"/>
        <item x="7"/>
        <item x="4"/>
        <item x="2"/>
        <item x="6"/>
        <item x="5"/>
        <item t="default"/>
      </items>
    </pivotField>
    <pivotField showAll="0">
      <items count="29">
        <item x="15"/>
        <item x="18"/>
        <item x="17"/>
        <item x="4"/>
        <item x="7"/>
        <item x="12"/>
        <item x="2"/>
        <item x="11"/>
        <item x="20"/>
        <item x="21"/>
        <item x="14"/>
        <item x="3"/>
        <item x="13"/>
        <item x="8"/>
        <item x="10"/>
        <item x="9"/>
        <item x="27"/>
        <item x="0"/>
        <item x="25"/>
        <item x="22"/>
        <item x="23"/>
        <item x="6"/>
        <item x="26"/>
        <item x="24"/>
        <item x="1"/>
        <item x="16"/>
        <item x="19"/>
        <item x="5"/>
        <item t="default"/>
      </items>
    </pivotField>
    <pivotField showAll="0"/>
    <pivotField showAll="0"/>
    <pivotField showAll="0"/>
    <pivotField dataField="1" numFmtId="43" showAll="0">
      <items count="24">
        <item x="2"/>
        <item x="1"/>
        <item x="0"/>
        <item x="3"/>
        <item x="5"/>
        <item x="4"/>
        <item x="7"/>
        <item x="6"/>
        <item x="8"/>
        <item x="9"/>
        <item x="10"/>
        <item x="11"/>
        <item x="12"/>
        <item x="13"/>
        <item x="14"/>
        <item x="15"/>
        <item x="16"/>
        <item x="17"/>
        <item x="18"/>
        <item x="19"/>
        <item x="20"/>
        <item x="21"/>
        <item x="22"/>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1">
    <field x="0"/>
  </rowFields>
  <rowItems count="13">
    <i>
      <x v="1"/>
    </i>
    <i>
      <x v="2"/>
    </i>
    <i>
      <x v="3"/>
    </i>
    <i>
      <x v="4"/>
    </i>
    <i>
      <x v="5"/>
    </i>
    <i>
      <x v="6"/>
    </i>
    <i>
      <x v="7"/>
    </i>
    <i>
      <x v="8"/>
    </i>
    <i>
      <x v="9"/>
    </i>
    <i>
      <x v="10"/>
    </i>
    <i>
      <x v="11"/>
    </i>
    <i>
      <x v="12"/>
    </i>
    <i t="grand">
      <x/>
    </i>
  </rowItems>
  <colItems count="1">
    <i/>
  </colItems>
  <dataFields count="1">
    <dataField name="Sum of Total Cost" fld="10" baseField="0" baseItem="0" numFmtId="164"/>
  </dataFields>
  <formats count="7">
    <format dxfId="10">
      <pivotArea type="all" dataOnly="0" outline="0" fieldPosition="0"/>
    </format>
    <format dxfId="9">
      <pivotArea outline="0" collapsedLevelsAreSubtotals="1" fieldPosition="0"/>
    </format>
    <format dxfId="8">
      <pivotArea field="0" type="button" dataOnly="0" labelOnly="1" outline="0" axis="axisRow" fieldPosition="0"/>
    </format>
    <format dxfId="7">
      <pivotArea dataOnly="0" labelOnly="1" fieldPosition="0">
        <references count="1">
          <reference field="0" count="12">
            <x v="1"/>
            <x v="2"/>
            <x v="3"/>
            <x v="4"/>
            <x v="5"/>
            <x v="6"/>
            <x v="7"/>
            <x v="8"/>
            <x v="9"/>
            <x v="10"/>
            <x v="11"/>
            <x v="12"/>
          </reference>
        </references>
      </pivotArea>
    </format>
    <format dxfId="6">
      <pivotArea dataOnly="0" labelOnly="1" grandRow="1" outline="0" fieldPosition="0"/>
    </format>
    <format dxfId="5">
      <pivotArea dataOnly="0" labelOnly="1" outline="0" axis="axisValues" fieldPosition="0"/>
    </format>
    <format dxfId="4">
      <pivotArea outline="0" collapsedLevelsAreSubtotals="1" fieldPosition="0"/>
    </format>
  </formats>
  <chartFormats count="1">
    <chartFormat chart="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A9E860F-450E-49F9-BDD6-FC2CD934D7FE}" name="PivotTable3"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D3:E32" firstHeaderRow="1" firstDataRow="1" firstDataCol="1"/>
  <pivotFields count="13">
    <pivotField numFmtId="14" showAll="0">
      <items count="15">
        <item x="0"/>
        <item x="1"/>
        <item x="2"/>
        <item x="3"/>
        <item x="4"/>
        <item x="5"/>
        <item x="6"/>
        <item x="7"/>
        <item x="8"/>
        <item x="9"/>
        <item x="10"/>
        <item x="11"/>
        <item x="12"/>
        <item x="13"/>
        <item t="default"/>
      </items>
    </pivotField>
    <pivotField numFmtId="165" showAll="0">
      <items count="29">
        <item x="0"/>
        <item x="1"/>
        <item x="2"/>
        <item x="3"/>
        <item x="4"/>
        <item x="5"/>
        <item x="6"/>
        <item x="7"/>
        <item x="8"/>
        <item x="9"/>
        <item x="10"/>
        <item x="11"/>
        <item x="12"/>
        <item x="13"/>
        <item x="14"/>
        <item x="15"/>
        <item x="16"/>
        <item x="17"/>
        <item x="18"/>
        <item x="19"/>
        <item x="20"/>
        <item x="21"/>
        <item x="22"/>
        <item x="23"/>
        <item x="24"/>
        <item x="25"/>
        <item x="26"/>
        <item x="27"/>
        <item t="default"/>
      </items>
    </pivotField>
    <pivotField showAll="0"/>
    <pivotField showAll="0">
      <items count="27">
        <item x="3"/>
        <item x="13"/>
        <item x="7"/>
        <item x="4"/>
        <item x="8"/>
        <item x="9"/>
        <item x="21"/>
        <item x="18"/>
        <item x="17"/>
        <item x="1"/>
        <item x="19"/>
        <item x="0"/>
        <item x="20"/>
        <item x="24"/>
        <item x="6"/>
        <item x="2"/>
        <item x="12"/>
        <item x="14"/>
        <item x="16"/>
        <item x="5"/>
        <item x="15"/>
        <item x="22"/>
        <item x="11"/>
        <item x="25"/>
        <item x="23"/>
        <item x="10"/>
        <item t="default"/>
      </items>
    </pivotField>
    <pivotField showAll="0">
      <items count="7">
        <item x="5"/>
        <item x="1"/>
        <item x="0"/>
        <item x="3"/>
        <item x="4"/>
        <item x="2"/>
        <item t="default"/>
      </items>
    </pivotField>
    <pivotField showAll="0">
      <items count="9">
        <item x="3"/>
        <item x="1"/>
        <item x="0"/>
        <item x="7"/>
        <item x="4"/>
        <item x="2"/>
        <item x="6"/>
        <item x="5"/>
        <item t="default"/>
      </items>
    </pivotField>
    <pivotField axis="axisRow" showAll="0">
      <items count="29">
        <item x="15"/>
        <item x="18"/>
        <item x="17"/>
        <item x="4"/>
        <item x="7"/>
        <item x="12"/>
        <item x="2"/>
        <item x="11"/>
        <item x="20"/>
        <item x="21"/>
        <item x="14"/>
        <item x="3"/>
        <item x="13"/>
        <item x="8"/>
        <item x="10"/>
        <item x="9"/>
        <item x="27"/>
        <item x="0"/>
        <item x="25"/>
        <item x="22"/>
        <item x="23"/>
        <item x="6"/>
        <item x="26"/>
        <item x="24"/>
        <item x="1"/>
        <item x="16"/>
        <item x="19"/>
        <item x="5"/>
        <item t="default"/>
      </items>
    </pivotField>
    <pivotField dataField="1" showAll="0"/>
    <pivotField showAll="0"/>
    <pivotField showAll="0"/>
    <pivotField numFmtId="43" showAll="0">
      <items count="24">
        <item x="2"/>
        <item x="1"/>
        <item x="0"/>
        <item x="3"/>
        <item x="5"/>
        <item x="4"/>
        <item x="7"/>
        <item x="6"/>
        <item x="8"/>
        <item x="9"/>
        <item x="10"/>
        <item x="11"/>
        <item x="12"/>
        <item x="13"/>
        <item x="14"/>
        <item x="15"/>
        <item x="16"/>
        <item x="17"/>
        <item x="18"/>
        <item x="19"/>
        <item x="20"/>
        <item x="21"/>
        <item x="22"/>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6"/>
  </rowFields>
  <rowItems count="29">
    <i>
      <x/>
    </i>
    <i>
      <x v="1"/>
    </i>
    <i>
      <x v="2"/>
    </i>
    <i>
      <x v="3"/>
    </i>
    <i>
      <x v="4"/>
    </i>
    <i>
      <x v="5"/>
    </i>
    <i>
      <x v="6"/>
    </i>
    <i>
      <x v="7"/>
    </i>
    <i>
      <x v="8"/>
    </i>
    <i>
      <x v="9"/>
    </i>
    <i>
      <x v="10"/>
    </i>
    <i>
      <x v="11"/>
    </i>
    <i>
      <x v="12"/>
    </i>
    <i>
      <x v="13"/>
    </i>
    <i>
      <x v="14"/>
    </i>
    <i>
      <x v="15"/>
    </i>
    <i>
      <x v="16"/>
    </i>
    <i>
      <x v="17"/>
    </i>
    <i>
      <x v="18"/>
    </i>
    <i>
      <x v="19"/>
    </i>
    <i>
      <x v="20"/>
    </i>
    <i>
      <x v="21"/>
    </i>
    <i>
      <x v="22"/>
    </i>
    <i>
      <x v="23"/>
    </i>
    <i>
      <x v="24"/>
    </i>
    <i>
      <x v="25"/>
    </i>
    <i>
      <x v="26"/>
    </i>
    <i>
      <x v="27"/>
    </i>
    <i t="grand">
      <x/>
    </i>
  </rowItems>
  <colItems count="1">
    <i/>
  </colItems>
  <dataFields count="1">
    <dataField name="Sum of Quantity" fld="7" baseField="0" baseItem="0"/>
  </dataFields>
  <formats count="6">
    <format dxfId="16">
      <pivotArea type="all" dataOnly="0" outline="0" fieldPosition="0"/>
    </format>
    <format dxfId="15">
      <pivotArea outline="0" collapsedLevelsAreSubtotals="1" fieldPosition="0"/>
    </format>
    <format dxfId="14">
      <pivotArea field="6" type="button" dataOnly="0" labelOnly="1" outline="0" axis="axisRow" fieldPosition="0"/>
    </format>
    <format dxfId="13">
      <pivotArea dataOnly="0" labelOnly="1" fieldPosition="0">
        <references count="1">
          <reference field="6" count="0"/>
        </references>
      </pivotArea>
    </format>
    <format dxfId="12">
      <pivotArea dataOnly="0" labelOnly="1" grandRow="1" outline="0" fieldPosition="0"/>
    </format>
    <format dxfId="11">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BBE624F-0976-4E83-9DEF-87FCC9D2BA9A}" name="PivotTable6"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2">
  <location ref="A12:B21" firstHeaderRow="1" firstDataRow="1" firstDataCol="1"/>
  <pivotFields count="13">
    <pivotField numFmtId="14" showAll="0">
      <items count="15">
        <item x="0"/>
        <item x="1"/>
        <item x="2"/>
        <item x="3"/>
        <item x="4"/>
        <item x="5"/>
        <item x="6"/>
        <item x="7"/>
        <item x="8"/>
        <item x="9"/>
        <item x="10"/>
        <item x="11"/>
        <item x="12"/>
        <item x="13"/>
        <item t="default"/>
      </items>
    </pivotField>
    <pivotField numFmtId="165" showAll="0">
      <items count="29">
        <item x="0"/>
        <item x="1"/>
        <item x="2"/>
        <item x="3"/>
        <item x="4"/>
        <item x="5"/>
        <item x="6"/>
        <item x="7"/>
        <item x="8"/>
        <item x="9"/>
        <item x="10"/>
        <item x="11"/>
        <item x="12"/>
        <item x="13"/>
        <item x="14"/>
        <item x="15"/>
        <item x="16"/>
        <item x="17"/>
        <item x="18"/>
        <item x="19"/>
        <item x="20"/>
        <item x="21"/>
        <item x="22"/>
        <item x="23"/>
        <item x="24"/>
        <item x="25"/>
        <item x="26"/>
        <item x="27"/>
        <item t="default"/>
      </items>
    </pivotField>
    <pivotField showAll="0"/>
    <pivotField showAll="0">
      <items count="27">
        <item x="3"/>
        <item x="13"/>
        <item x="7"/>
        <item x="4"/>
        <item x="8"/>
        <item x="9"/>
        <item x="21"/>
        <item x="18"/>
        <item x="17"/>
        <item x="1"/>
        <item x="19"/>
        <item x="0"/>
        <item x="20"/>
        <item x="24"/>
        <item x="6"/>
        <item x="2"/>
        <item x="12"/>
        <item x="14"/>
        <item x="16"/>
        <item x="5"/>
        <item x="15"/>
        <item x="22"/>
        <item x="11"/>
        <item x="25"/>
        <item x="23"/>
        <item x="10"/>
        <item t="default"/>
      </items>
    </pivotField>
    <pivotField showAll="0">
      <items count="7">
        <item x="5"/>
        <item x="1"/>
        <item x="0"/>
        <item x="3"/>
        <item x="4"/>
        <item x="2"/>
        <item t="default"/>
      </items>
    </pivotField>
    <pivotField axis="axisRow" dataField="1" showAll="0">
      <items count="9">
        <item x="3"/>
        <item x="1"/>
        <item x="0"/>
        <item x="7"/>
        <item x="4"/>
        <item x="2"/>
        <item x="6"/>
        <item x="5"/>
        <item t="default"/>
      </items>
    </pivotField>
    <pivotField showAll="0">
      <items count="29">
        <item x="15"/>
        <item x="18"/>
        <item x="17"/>
        <item x="4"/>
        <item x="7"/>
        <item x="12"/>
        <item x="2"/>
        <item x="11"/>
        <item x="20"/>
        <item x="21"/>
        <item x="14"/>
        <item x="3"/>
        <item x="13"/>
        <item x="8"/>
        <item x="10"/>
        <item x="9"/>
        <item x="27"/>
        <item x="0"/>
        <item x="25"/>
        <item x="22"/>
        <item x="23"/>
        <item x="6"/>
        <item x="26"/>
        <item x="24"/>
        <item x="1"/>
        <item x="16"/>
        <item x="19"/>
        <item x="5"/>
        <item t="default"/>
      </items>
    </pivotField>
    <pivotField showAll="0"/>
    <pivotField showAll="0"/>
    <pivotField showAll="0"/>
    <pivotField numFmtId="43" showAll="0">
      <items count="24">
        <item x="2"/>
        <item x="1"/>
        <item x="0"/>
        <item x="3"/>
        <item x="5"/>
        <item x="4"/>
        <item x="7"/>
        <item x="6"/>
        <item x="8"/>
        <item x="9"/>
        <item x="10"/>
        <item x="11"/>
        <item x="12"/>
        <item x="13"/>
        <item x="14"/>
        <item x="15"/>
        <item x="16"/>
        <item x="17"/>
        <item x="18"/>
        <item x="19"/>
        <item x="20"/>
        <item x="21"/>
        <item x="22"/>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5"/>
  </rowFields>
  <rowItems count="9">
    <i>
      <x/>
    </i>
    <i>
      <x v="1"/>
    </i>
    <i>
      <x v="2"/>
    </i>
    <i>
      <x v="3"/>
    </i>
    <i>
      <x v="4"/>
    </i>
    <i>
      <x v="5"/>
    </i>
    <i>
      <x v="6"/>
    </i>
    <i>
      <x v="7"/>
    </i>
    <i t="grand">
      <x/>
    </i>
  </rowItems>
  <colItems count="1">
    <i/>
  </colItems>
  <dataFields count="1">
    <dataField name="Count of Rating" fld="5" subtotal="count" baseField="0" baseItem="0"/>
  </dataFields>
  <formats count="6">
    <format dxfId="22">
      <pivotArea type="all" dataOnly="0" outline="0" fieldPosition="0"/>
    </format>
    <format dxfId="21">
      <pivotArea outline="0" collapsedLevelsAreSubtotals="1" fieldPosition="0"/>
    </format>
    <format dxfId="20">
      <pivotArea field="5" type="button" dataOnly="0" labelOnly="1" outline="0" axis="axisRow" fieldPosition="0"/>
    </format>
    <format dxfId="19">
      <pivotArea dataOnly="0" labelOnly="1" fieldPosition="0">
        <references count="1">
          <reference field="5" count="0"/>
        </references>
      </pivotArea>
    </format>
    <format dxfId="18">
      <pivotArea dataOnly="0" labelOnly="1" grandRow="1" outline="0" fieldPosition="0"/>
    </format>
    <format dxfId="17">
      <pivotArea dataOnly="0" labelOnly="1" outline="0" axis="axisValues" fieldPosition="0"/>
    </format>
  </formats>
  <chartFormats count="9">
    <chartFormat chart="1" format="1" series="1">
      <pivotArea type="data" outline="0" fieldPosition="0">
        <references count="1">
          <reference field="4294967294" count="1" selected="0">
            <x v="0"/>
          </reference>
        </references>
      </pivotArea>
    </chartFormat>
    <chartFormat chart="1" format="2">
      <pivotArea type="data" outline="0" fieldPosition="0">
        <references count="2">
          <reference field="4294967294" count="1" selected="0">
            <x v="0"/>
          </reference>
          <reference field="5" count="1" selected="0">
            <x v="0"/>
          </reference>
        </references>
      </pivotArea>
    </chartFormat>
    <chartFormat chart="1" format="3">
      <pivotArea type="data" outline="0" fieldPosition="0">
        <references count="2">
          <reference field="4294967294" count="1" selected="0">
            <x v="0"/>
          </reference>
          <reference field="5" count="1" selected="0">
            <x v="1"/>
          </reference>
        </references>
      </pivotArea>
    </chartFormat>
    <chartFormat chart="1" format="4">
      <pivotArea type="data" outline="0" fieldPosition="0">
        <references count="2">
          <reference field="4294967294" count="1" selected="0">
            <x v="0"/>
          </reference>
          <reference field="5" count="1" selected="0">
            <x v="2"/>
          </reference>
        </references>
      </pivotArea>
    </chartFormat>
    <chartFormat chart="1" format="5">
      <pivotArea type="data" outline="0" fieldPosition="0">
        <references count="2">
          <reference field="4294967294" count="1" selected="0">
            <x v="0"/>
          </reference>
          <reference field="5" count="1" selected="0">
            <x v="3"/>
          </reference>
        </references>
      </pivotArea>
    </chartFormat>
    <chartFormat chart="1" format="6">
      <pivotArea type="data" outline="0" fieldPosition="0">
        <references count="2">
          <reference field="4294967294" count="1" selected="0">
            <x v="0"/>
          </reference>
          <reference field="5" count="1" selected="0">
            <x v="4"/>
          </reference>
        </references>
      </pivotArea>
    </chartFormat>
    <chartFormat chart="1" format="7">
      <pivotArea type="data" outline="0" fieldPosition="0">
        <references count="2">
          <reference field="4294967294" count="1" selected="0">
            <x v="0"/>
          </reference>
          <reference field="5" count="1" selected="0">
            <x v="5"/>
          </reference>
        </references>
      </pivotArea>
    </chartFormat>
    <chartFormat chart="1" format="8">
      <pivotArea type="data" outline="0" fieldPosition="0">
        <references count="2">
          <reference field="4294967294" count="1" selected="0">
            <x v="0"/>
          </reference>
          <reference field="5" count="1" selected="0">
            <x v="6"/>
          </reference>
        </references>
      </pivotArea>
    </chartFormat>
    <chartFormat chart="1" format="9">
      <pivotArea type="data" outline="0" fieldPosition="0">
        <references count="2">
          <reference field="4294967294" count="1" selected="0">
            <x v="0"/>
          </reference>
          <reference field="5"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E6C7722-BD70-431F-9E1D-16B0611D1488}" name="PivotTable2"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2">
  <location ref="A3:B10" firstHeaderRow="1" firstDataRow="1" firstDataCol="1"/>
  <pivotFields count="13">
    <pivotField numFmtId="14" showAll="0">
      <items count="15">
        <item x="0"/>
        <item x="1"/>
        <item x="2"/>
        <item x="3"/>
        <item x="4"/>
        <item x="5"/>
        <item x="6"/>
        <item x="7"/>
        <item x="8"/>
        <item x="9"/>
        <item x="10"/>
        <item x="11"/>
        <item x="12"/>
        <item x="13"/>
        <item t="default"/>
      </items>
    </pivotField>
    <pivotField numFmtId="165" showAll="0">
      <items count="29">
        <item x="0"/>
        <item x="1"/>
        <item x="2"/>
        <item x="3"/>
        <item x="4"/>
        <item x="5"/>
        <item x="6"/>
        <item x="7"/>
        <item x="8"/>
        <item x="9"/>
        <item x="10"/>
        <item x="11"/>
        <item x="12"/>
        <item x="13"/>
        <item x="14"/>
        <item x="15"/>
        <item x="16"/>
        <item x="17"/>
        <item x="18"/>
        <item x="19"/>
        <item x="20"/>
        <item x="21"/>
        <item x="22"/>
        <item x="23"/>
        <item x="24"/>
        <item x="25"/>
        <item x="26"/>
        <item x="27"/>
        <item t="default"/>
      </items>
    </pivotField>
    <pivotField showAll="0"/>
    <pivotField showAll="0">
      <items count="27">
        <item x="3"/>
        <item x="13"/>
        <item x="7"/>
        <item x="4"/>
        <item x="8"/>
        <item x="9"/>
        <item x="21"/>
        <item x="18"/>
        <item x="17"/>
        <item x="1"/>
        <item x="19"/>
        <item x="0"/>
        <item x="20"/>
        <item x="24"/>
        <item x="6"/>
        <item x="2"/>
        <item x="12"/>
        <item x="14"/>
        <item x="16"/>
        <item x="5"/>
        <item x="15"/>
        <item x="22"/>
        <item x="11"/>
        <item x="25"/>
        <item x="23"/>
        <item x="10"/>
        <item t="default"/>
      </items>
    </pivotField>
    <pivotField axis="axisRow" showAll="0">
      <items count="7">
        <item x="5"/>
        <item x="1"/>
        <item x="0"/>
        <item x="3"/>
        <item x="4"/>
        <item x="2"/>
        <item t="default"/>
      </items>
    </pivotField>
    <pivotField showAll="0">
      <items count="9">
        <item x="3"/>
        <item x="1"/>
        <item x="0"/>
        <item x="7"/>
        <item x="4"/>
        <item x="2"/>
        <item x="6"/>
        <item x="5"/>
        <item t="default"/>
      </items>
    </pivotField>
    <pivotField showAll="0">
      <items count="29">
        <item x="15"/>
        <item x="18"/>
        <item x="17"/>
        <item x="4"/>
        <item x="7"/>
        <item x="12"/>
        <item x="2"/>
        <item x="11"/>
        <item x="20"/>
        <item x="21"/>
        <item x="14"/>
        <item x="3"/>
        <item x="13"/>
        <item x="8"/>
        <item x="10"/>
        <item x="9"/>
        <item x="27"/>
        <item x="0"/>
        <item x="25"/>
        <item x="22"/>
        <item x="23"/>
        <item x="6"/>
        <item x="26"/>
        <item x="24"/>
        <item x="1"/>
        <item x="16"/>
        <item x="19"/>
        <item x="5"/>
        <item t="default"/>
      </items>
    </pivotField>
    <pivotField showAll="0"/>
    <pivotField showAll="0"/>
    <pivotField showAll="0"/>
    <pivotField dataField="1" numFmtId="43" showAll="0">
      <items count="24">
        <item x="2"/>
        <item x="1"/>
        <item x="0"/>
        <item x="3"/>
        <item x="5"/>
        <item x="4"/>
        <item x="7"/>
        <item x="6"/>
        <item x="8"/>
        <item x="9"/>
        <item x="10"/>
        <item x="11"/>
        <item x="12"/>
        <item x="13"/>
        <item x="14"/>
        <item x="15"/>
        <item x="16"/>
        <item x="17"/>
        <item x="18"/>
        <item x="19"/>
        <item x="20"/>
        <item x="21"/>
        <item x="22"/>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4"/>
  </rowFields>
  <rowItems count="7">
    <i>
      <x/>
    </i>
    <i>
      <x v="1"/>
    </i>
    <i>
      <x v="2"/>
    </i>
    <i>
      <x v="3"/>
    </i>
    <i>
      <x v="4"/>
    </i>
    <i>
      <x v="5"/>
    </i>
    <i t="grand">
      <x/>
    </i>
  </rowItems>
  <colItems count="1">
    <i/>
  </colItems>
  <dataFields count="1">
    <dataField name="Sum of Total Cost" fld="10" baseField="0" baseItem="0" numFmtId="164"/>
  </dataFields>
  <formats count="7">
    <format dxfId="29">
      <pivotArea outline="0" collapsedLevelsAreSubtotals="1" fieldPosition="0"/>
    </format>
    <format dxfId="28">
      <pivotArea type="all" dataOnly="0" outline="0" fieldPosition="0"/>
    </format>
    <format dxfId="27">
      <pivotArea outline="0" collapsedLevelsAreSubtotals="1" fieldPosition="0"/>
    </format>
    <format dxfId="26">
      <pivotArea field="4" type="button" dataOnly="0" labelOnly="1" outline="0" axis="axisRow" fieldPosition="0"/>
    </format>
    <format dxfId="25">
      <pivotArea dataOnly="0" labelOnly="1" fieldPosition="0">
        <references count="1">
          <reference field="4" count="0"/>
        </references>
      </pivotArea>
    </format>
    <format dxfId="24">
      <pivotArea dataOnly="0" labelOnly="1" grandRow="1" outline="0" fieldPosition="0"/>
    </format>
    <format dxfId="23">
      <pivotArea dataOnly="0" labelOnly="1" outline="0" axis="axisValues" fieldPosition="0"/>
    </format>
  </formats>
  <chartFormats count="1">
    <chartFormat chart="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294370E-4EB5-418A-9F83-ADE39391C184}" name="PivotTable4"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2">
  <location ref="G3:H32" firstHeaderRow="1" firstDataRow="1" firstDataCol="1"/>
  <pivotFields count="13">
    <pivotField numFmtId="14" showAll="0">
      <items count="15">
        <item x="0"/>
        <item x="1"/>
        <item x="2"/>
        <item x="3"/>
        <item x="4"/>
        <item x="5"/>
        <item x="6"/>
        <item x="7"/>
        <item x="8"/>
        <item x="9"/>
        <item x="10"/>
        <item x="11"/>
        <item x="12"/>
        <item x="13"/>
        <item t="default"/>
      </items>
    </pivotField>
    <pivotField numFmtId="165" showAll="0">
      <items count="29">
        <item x="0"/>
        <item x="1"/>
        <item x="2"/>
        <item x="3"/>
        <item x="4"/>
        <item x="5"/>
        <item x="6"/>
        <item x="7"/>
        <item x="8"/>
        <item x="9"/>
        <item x="10"/>
        <item x="11"/>
        <item x="12"/>
        <item x="13"/>
        <item x="14"/>
        <item x="15"/>
        <item x="16"/>
        <item x="17"/>
        <item x="18"/>
        <item x="19"/>
        <item x="20"/>
        <item x="21"/>
        <item x="22"/>
        <item x="23"/>
        <item x="24"/>
        <item x="25"/>
        <item x="26"/>
        <item x="27"/>
        <item t="default"/>
      </items>
    </pivotField>
    <pivotField showAll="0"/>
    <pivotField showAll="0">
      <items count="27">
        <item x="3"/>
        <item x="13"/>
        <item x="7"/>
        <item x="4"/>
        <item x="8"/>
        <item x="9"/>
        <item x="21"/>
        <item x="18"/>
        <item x="17"/>
        <item x="1"/>
        <item x="19"/>
        <item x="0"/>
        <item x="20"/>
        <item x="24"/>
        <item x="6"/>
        <item x="2"/>
        <item x="12"/>
        <item x="14"/>
        <item x="16"/>
        <item x="5"/>
        <item x="15"/>
        <item x="22"/>
        <item x="11"/>
        <item x="25"/>
        <item x="23"/>
        <item x="10"/>
        <item t="default"/>
      </items>
    </pivotField>
    <pivotField showAll="0">
      <items count="7">
        <item x="5"/>
        <item x="1"/>
        <item x="0"/>
        <item x="3"/>
        <item x="4"/>
        <item x="2"/>
        <item t="default"/>
      </items>
    </pivotField>
    <pivotField showAll="0">
      <items count="9">
        <item x="3"/>
        <item x="1"/>
        <item x="0"/>
        <item x="7"/>
        <item x="4"/>
        <item x="2"/>
        <item x="6"/>
        <item x="5"/>
        <item t="default"/>
      </items>
    </pivotField>
    <pivotField axis="axisRow" showAll="0">
      <items count="29">
        <item x="15"/>
        <item x="18"/>
        <item x="17"/>
        <item x="4"/>
        <item x="7"/>
        <item x="12"/>
        <item x="2"/>
        <item x="11"/>
        <item x="20"/>
        <item x="21"/>
        <item x="14"/>
        <item x="3"/>
        <item x="13"/>
        <item x="8"/>
        <item x="10"/>
        <item x="9"/>
        <item x="27"/>
        <item x="0"/>
        <item x="25"/>
        <item x="22"/>
        <item x="23"/>
        <item x="6"/>
        <item x="26"/>
        <item x="24"/>
        <item x="1"/>
        <item x="16"/>
        <item x="19"/>
        <item x="5"/>
        <item t="default"/>
      </items>
    </pivotField>
    <pivotField showAll="0"/>
    <pivotField showAll="0"/>
    <pivotField showAll="0"/>
    <pivotField dataField="1" numFmtId="43" showAll="0">
      <items count="24">
        <item x="2"/>
        <item x="1"/>
        <item x="0"/>
        <item x="3"/>
        <item x="5"/>
        <item x="4"/>
        <item x="7"/>
        <item x="6"/>
        <item x="8"/>
        <item x="9"/>
        <item x="10"/>
        <item x="11"/>
        <item x="12"/>
        <item x="13"/>
        <item x="14"/>
        <item x="15"/>
        <item x="16"/>
        <item x="17"/>
        <item x="18"/>
        <item x="19"/>
        <item x="20"/>
        <item x="21"/>
        <item x="22"/>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6"/>
  </rowFields>
  <rowItems count="29">
    <i>
      <x/>
    </i>
    <i>
      <x v="1"/>
    </i>
    <i>
      <x v="2"/>
    </i>
    <i>
      <x v="3"/>
    </i>
    <i>
      <x v="4"/>
    </i>
    <i>
      <x v="5"/>
    </i>
    <i>
      <x v="6"/>
    </i>
    <i>
      <x v="7"/>
    </i>
    <i>
      <x v="8"/>
    </i>
    <i>
      <x v="9"/>
    </i>
    <i>
      <x v="10"/>
    </i>
    <i>
      <x v="11"/>
    </i>
    <i>
      <x v="12"/>
    </i>
    <i>
      <x v="13"/>
    </i>
    <i>
      <x v="14"/>
    </i>
    <i>
      <x v="15"/>
    </i>
    <i>
      <x v="16"/>
    </i>
    <i>
      <x v="17"/>
    </i>
    <i>
      <x v="18"/>
    </i>
    <i>
      <x v="19"/>
    </i>
    <i>
      <x v="20"/>
    </i>
    <i>
      <x v="21"/>
    </i>
    <i>
      <x v="22"/>
    </i>
    <i>
      <x v="23"/>
    </i>
    <i>
      <x v="24"/>
    </i>
    <i>
      <x v="25"/>
    </i>
    <i>
      <x v="26"/>
    </i>
    <i>
      <x v="27"/>
    </i>
    <i t="grand">
      <x/>
    </i>
  </rowItems>
  <colItems count="1">
    <i/>
  </colItems>
  <dataFields count="1">
    <dataField name="Sum of Total Cost" fld="10" baseField="0" baseItem="0" numFmtId="164"/>
  </dataFields>
  <formats count="8">
    <format dxfId="37">
      <pivotArea outline="0" collapsedLevelsAreSubtotals="1" fieldPosition="0"/>
    </format>
    <format dxfId="36">
      <pivotArea outline="0" collapsedLevelsAreSubtotals="1" fieldPosition="0"/>
    </format>
    <format dxfId="35">
      <pivotArea type="all" dataOnly="0" outline="0" fieldPosition="0"/>
    </format>
    <format dxfId="34">
      <pivotArea outline="0" collapsedLevelsAreSubtotals="1" fieldPosition="0"/>
    </format>
    <format dxfId="33">
      <pivotArea field="6" type="button" dataOnly="0" labelOnly="1" outline="0" axis="axisRow" fieldPosition="0"/>
    </format>
    <format dxfId="32">
      <pivotArea dataOnly="0" labelOnly="1" fieldPosition="0">
        <references count="1">
          <reference field="6" count="0"/>
        </references>
      </pivotArea>
    </format>
    <format dxfId="31">
      <pivotArea dataOnly="0" labelOnly="1" grandRow="1" outline="0" fieldPosition="0"/>
    </format>
    <format dxfId="30">
      <pivotArea dataOnly="0" labelOnly="1" outline="0" axis="axisValues" fieldPosition="0"/>
    </format>
  </formats>
  <chartFormats count="1">
    <chartFormat chart="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F1F788-AD7C-448A-B358-7370CE585451}" name="PivotTable7"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2">
  <location ref="A23:B32" firstHeaderRow="1" firstDataRow="1" firstDataCol="1"/>
  <pivotFields count="13">
    <pivotField numFmtId="14" showAll="0">
      <items count="15">
        <item x="0"/>
        <item x="1"/>
        <item x="2"/>
        <item x="3"/>
        <item x="4"/>
        <item x="5"/>
        <item x="6"/>
        <item x="7"/>
        <item x="8"/>
        <item x="9"/>
        <item x="10"/>
        <item x="11"/>
        <item x="12"/>
        <item x="13"/>
        <item t="default"/>
      </items>
    </pivotField>
    <pivotField numFmtId="165" showAll="0">
      <items count="29">
        <item x="0"/>
        <item x="1"/>
        <item x="2"/>
        <item x="3"/>
        <item x="4"/>
        <item x="5"/>
        <item x="6"/>
        <item x="7"/>
        <item x="8"/>
        <item x="9"/>
        <item x="10"/>
        <item x="11"/>
        <item x="12"/>
        <item x="13"/>
        <item x="14"/>
        <item x="15"/>
        <item x="16"/>
        <item x="17"/>
        <item x="18"/>
        <item x="19"/>
        <item x="20"/>
        <item x="21"/>
        <item x="22"/>
        <item x="23"/>
        <item x="24"/>
        <item x="25"/>
        <item x="26"/>
        <item x="27"/>
        <item t="default"/>
      </items>
    </pivotField>
    <pivotField showAll="0"/>
    <pivotField showAll="0">
      <items count="27">
        <item x="3"/>
        <item x="13"/>
        <item x="7"/>
        <item x="4"/>
        <item x="8"/>
        <item x="9"/>
        <item x="21"/>
        <item x="18"/>
        <item x="17"/>
        <item x="1"/>
        <item x="19"/>
        <item x="0"/>
        <item x="20"/>
        <item x="24"/>
        <item x="6"/>
        <item x="2"/>
        <item x="12"/>
        <item x="14"/>
        <item x="16"/>
        <item x="5"/>
        <item x="15"/>
        <item x="22"/>
        <item x="11"/>
        <item x="25"/>
        <item x="23"/>
        <item x="10"/>
        <item t="default"/>
      </items>
    </pivotField>
    <pivotField showAll="0">
      <items count="7">
        <item x="5"/>
        <item x="1"/>
        <item x="0"/>
        <item x="3"/>
        <item x="4"/>
        <item x="2"/>
        <item t="default"/>
      </items>
    </pivotField>
    <pivotField axis="axisRow" showAll="0">
      <items count="9">
        <item x="3"/>
        <item x="1"/>
        <item x="0"/>
        <item x="7"/>
        <item x="4"/>
        <item x="2"/>
        <item x="6"/>
        <item x="5"/>
        <item t="default"/>
      </items>
    </pivotField>
    <pivotField showAll="0">
      <items count="29">
        <item x="15"/>
        <item x="18"/>
        <item x="17"/>
        <item x="4"/>
        <item x="7"/>
        <item x="12"/>
        <item x="2"/>
        <item x="11"/>
        <item x="20"/>
        <item x="21"/>
        <item x="14"/>
        <item x="3"/>
        <item x="13"/>
        <item x="8"/>
        <item x="10"/>
        <item x="9"/>
        <item x="27"/>
        <item x="0"/>
        <item x="25"/>
        <item x="22"/>
        <item x="23"/>
        <item x="6"/>
        <item x="26"/>
        <item x="24"/>
        <item x="1"/>
        <item x="16"/>
        <item x="19"/>
        <item x="5"/>
        <item t="default"/>
      </items>
    </pivotField>
    <pivotField showAll="0"/>
    <pivotField showAll="0"/>
    <pivotField showAll="0"/>
    <pivotField dataField="1" numFmtId="43" showAll="0">
      <items count="24">
        <item x="2"/>
        <item x="1"/>
        <item x="0"/>
        <item x="3"/>
        <item x="5"/>
        <item x="4"/>
        <item x="7"/>
        <item x="6"/>
        <item x="8"/>
        <item x="9"/>
        <item x="10"/>
        <item x="11"/>
        <item x="12"/>
        <item x="13"/>
        <item x="14"/>
        <item x="15"/>
        <item x="16"/>
        <item x="17"/>
        <item x="18"/>
        <item x="19"/>
        <item x="20"/>
        <item x="21"/>
        <item x="22"/>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5"/>
  </rowFields>
  <rowItems count="9">
    <i>
      <x/>
    </i>
    <i>
      <x v="1"/>
    </i>
    <i>
      <x v="2"/>
    </i>
    <i>
      <x v="3"/>
    </i>
    <i>
      <x v="4"/>
    </i>
    <i>
      <x v="5"/>
    </i>
    <i>
      <x v="6"/>
    </i>
    <i>
      <x v="7"/>
    </i>
    <i t="grand">
      <x/>
    </i>
  </rowItems>
  <colItems count="1">
    <i/>
  </colItems>
  <dataFields count="1">
    <dataField name="Sum of Total Cost" fld="10" baseField="0" baseItem="0" numFmtId="164"/>
  </dataFields>
  <formats count="7">
    <format dxfId="44">
      <pivotArea outline="0" collapsedLevelsAreSubtotals="1" fieldPosition="0"/>
    </format>
    <format dxfId="43">
      <pivotArea type="all" dataOnly="0" outline="0" fieldPosition="0"/>
    </format>
    <format dxfId="42">
      <pivotArea outline="0" collapsedLevelsAreSubtotals="1" fieldPosition="0"/>
    </format>
    <format dxfId="41">
      <pivotArea field="5" type="button" dataOnly="0" labelOnly="1" outline="0" axis="axisRow" fieldPosition="0"/>
    </format>
    <format dxfId="40">
      <pivotArea dataOnly="0" labelOnly="1" fieldPosition="0">
        <references count="1">
          <reference field="5" count="0"/>
        </references>
      </pivotArea>
    </format>
    <format dxfId="39">
      <pivotArea dataOnly="0" labelOnly="1" grandRow="1" outline="0" fieldPosition="0"/>
    </format>
    <format dxfId="38">
      <pivotArea dataOnly="0" labelOnly="1" outline="0" axis="axisValues" fieldPosition="0"/>
    </format>
  </formats>
  <chartFormats count="9">
    <chartFormat chart="1" format="1" series="1">
      <pivotArea type="data" outline="0" fieldPosition="0">
        <references count="1">
          <reference field="4294967294" count="1" selected="0">
            <x v="0"/>
          </reference>
        </references>
      </pivotArea>
    </chartFormat>
    <chartFormat chart="1" format="2">
      <pivotArea type="data" outline="0" fieldPosition="0">
        <references count="2">
          <reference field="4294967294" count="1" selected="0">
            <x v="0"/>
          </reference>
          <reference field="5" count="1" selected="0">
            <x v="0"/>
          </reference>
        </references>
      </pivotArea>
    </chartFormat>
    <chartFormat chart="1" format="3">
      <pivotArea type="data" outline="0" fieldPosition="0">
        <references count="2">
          <reference field="4294967294" count="1" selected="0">
            <x v="0"/>
          </reference>
          <reference field="5" count="1" selected="0">
            <x v="1"/>
          </reference>
        </references>
      </pivotArea>
    </chartFormat>
    <chartFormat chart="1" format="4">
      <pivotArea type="data" outline="0" fieldPosition="0">
        <references count="2">
          <reference field="4294967294" count="1" selected="0">
            <x v="0"/>
          </reference>
          <reference field="5" count="1" selected="0">
            <x v="2"/>
          </reference>
        </references>
      </pivotArea>
    </chartFormat>
    <chartFormat chart="1" format="5">
      <pivotArea type="data" outline="0" fieldPosition="0">
        <references count="2">
          <reference field="4294967294" count="1" selected="0">
            <x v="0"/>
          </reference>
          <reference field="5" count="1" selected="0">
            <x v="3"/>
          </reference>
        </references>
      </pivotArea>
    </chartFormat>
    <chartFormat chart="1" format="6">
      <pivotArea type="data" outline="0" fieldPosition="0">
        <references count="2">
          <reference field="4294967294" count="1" selected="0">
            <x v="0"/>
          </reference>
          <reference field="5" count="1" selected="0">
            <x v="4"/>
          </reference>
        </references>
      </pivotArea>
    </chartFormat>
    <chartFormat chart="1" format="7">
      <pivotArea type="data" outline="0" fieldPosition="0">
        <references count="2">
          <reference field="4294967294" count="1" selected="0">
            <x v="0"/>
          </reference>
          <reference field="5" count="1" selected="0">
            <x v="5"/>
          </reference>
        </references>
      </pivotArea>
    </chartFormat>
    <chartFormat chart="1" format="8">
      <pivotArea type="data" outline="0" fieldPosition="0">
        <references count="2">
          <reference field="4294967294" count="1" selected="0">
            <x v="0"/>
          </reference>
          <reference field="5" count="1" selected="0">
            <x v="6"/>
          </reference>
        </references>
      </pivotArea>
    </chartFormat>
    <chartFormat chart="1" format="9">
      <pivotArea type="data" outline="0" fieldPosition="0">
        <references count="2">
          <reference field="4294967294" count="1" selected="0">
            <x v="0"/>
          </reference>
          <reference field="5"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AD58D85-E1E9-4953-9DB1-8A7629A463FB}" name="PivotTable5"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D34:D35" firstHeaderRow="1" firstDataRow="1" firstDataCol="0"/>
  <pivotFields count="13">
    <pivotField numFmtId="14" showAll="0">
      <items count="15">
        <item x="0"/>
        <item x="1"/>
        <item x="2"/>
        <item x="3"/>
        <item x="4"/>
        <item x="5"/>
        <item x="6"/>
        <item x="7"/>
        <item x="8"/>
        <item x="9"/>
        <item x="10"/>
        <item x="11"/>
        <item x="12"/>
        <item x="13"/>
        <item t="default"/>
      </items>
    </pivotField>
    <pivotField numFmtId="165" showAll="0">
      <items count="29">
        <item x="0"/>
        <item x="1"/>
        <item x="2"/>
        <item x="3"/>
        <item x="4"/>
        <item x="5"/>
        <item x="6"/>
        <item x="7"/>
        <item x="8"/>
        <item x="9"/>
        <item x="10"/>
        <item x="11"/>
        <item x="12"/>
        <item x="13"/>
        <item x="14"/>
        <item x="15"/>
        <item x="16"/>
        <item x="17"/>
        <item x="18"/>
        <item x="19"/>
        <item x="20"/>
        <item x="21"/>
        <item x="22"/>
        <item x="23"/>
        <item x="24"/>
        <item x="25"/>
        <item x="26"/>
        <item x="27"/>
        <item t="default"/>
      </items>
    </pivotField>
    <pivotField showAll="0"/>
    <pivotField showAll="0">
      <items count="27">
        <item x="3"/>
        <item x="13"/>
        <item x="7"/>
        <item x="4"/>
        <item x="8"/>
        <item x="9"/>
        <item x="21"/>
        <item x="18"/>
        <item x="17"/>
        <item x="1"/>
        <item x="19"/>
        <item x="0"/>
        <item x="20"/>
        <item x="24"/>
        <item x="6"/>
        <item x="2"/>
        <item x="12"/>
        <item x="14"/>
        <item x="16"/>
        <item x="5"/>
        <item x="15"/>
        <item x="22"/>
        <item x="11"/>
        <item x="25"/>
        <item x="23"/>
        <item x="10"/>
        <item t="default"/>
      </items>
    </pivotField>
    <pivotField showAll="0">
      <items count="7">
        <item x="5"/>
        <item x="1"/>
        <item x="0"/>
        <item x="3"/>
        <item x="4"/>
        <item x="2"/>
        <item t="default"/>
      </items>
    </pivotField>
    <pivotField showAll="0">
      <items count="9">
        <item x="3"/>
        <item x="1"/>
        <item x="0"/>
        <item x="7"/>
        <item x="4"/>
        <item x="2"/>
        <item x="6"/>
        <item x="5"/>
        <item t="default"/>
      </items>
    </pivotField>
    <pivotField showAll="0">
      <items count="29">
        <item x="15"/>
        <item x="18"/>
        <item x="17"/>
        <item x="4"/>
        <item x="7"/>
        <item x="12"/>
        <item x="2"/>
        <item x="11"/>
        <item x="20"/>
        <item x="21"/>
        <item x="14"/>
        <item x="3"/>
        <item x="13"/>
        <item x="8"/>
        <item x="10"/>
        <item x="9"/>
        <item x="27"/>
        <item x="0"/>
        <item x="25"/>
        <item x="22"/>
        <item x="23"/>
        <item x="6"/>
        <item x="26"/>
        <item x="24"/>
        <item x="1"/>
        <item x="16"/>
        <item x="19"/>
        <item x="5"/>
        <item t="default"/>
      </items>
    </pivotField>
    <pivotField dataField="1" showAll="0"/>
    <pivotField showAll="0"/>
    <pivotField showAll="0"/>
    <pivotField numFmtId="43" showAll="0">
      <items count="24">
        <item x="2"/>
        <item x="1"/>
        <item x="0"/>
        <item x="3"/>
        <item x="5"/>
        <item x="4"/>
        <item x="7"/>
        <item x="6"/>
        <item x="8"/>
        <item x="9"/>
        <item x="10"/>
        <item x="11"/>
        <item x="12"/>
        <item x="13"/>
        <item x="14"/>
        <item x="15"/>
        <item x="16"/>
        <item x="17"/>
        <item x="18"/>
        <item x="19"/>
        <item x="20"/>
        <item x="21"/>
        <item x="22"/>
        <item t="default"/>
      </items>
    </pivotField>
    <pivotField showAll="0">
      <items count="7">
        <item x="0"/>
        <item x="1"/>
        <item x="2"/>
        <item x="3"/>
        <item x="4"/>
        <item x="5"/>
        <item t="default"/>
      </items>
    </pivotField>
    <pivotField showAll="0">
      <items count="6">
        <item x="0"/>
        <item x="1"/>
        <item x="2"/>
        <item x="3"/>
        <item x="4"/>
        <item t="default"/>
      </items>
    </pivotField>
  </pivotFields>
  <rowItems count="1">
    <i/>
  </rowItems>
  <colItems count="1">
    <i/>
  </colItems>
  <dataFields count="1">
    <dataField name="Sum of Quantity" fld="7" baseField="0" baseItem="0"/>
  </dataFields>
  <formats count="3">
    <format dxfId="47">
      <pivotArea type="all" dataOnly="0" outline="0" fieldPosition="0"/>
    </format>
    <format dxfId="46">
      <pivotArea outline="0" collapsedLevelsAreSubtotals="1" fieldPosition="0"/>
    </format>
    <format dxfId="45">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31EE00AC-416D-4722-A590-702CE70555BB}" sourceName="Name">
  <pivotTables>
    <pivotTable tabId="15" name="PivotTable6"/>
    <pivotTable tabId="15" name="PivotTable2"/>
    <pivotTable tabId="15" name="PivotTable3"/>
    <pivotTable tabId="15" name="PivotTable4"/>
    <pivotTable tabId="15" name="PivotTable7"/>
    <pivotTable tabId="15" name="PivotTable1"/>
    <pivotTable tabId="15" name="PivotTable5"/>
    <pivotTable tabId="15" name="PivotTable8"/>
  </pivotTables>
  <data>
    <tabular pivotCacheId="1795081316">
      <items count="26">
        <i x="3" s="1"/>
        <i x="13" s="1"/>
        <i x="7" s="1"/>
        <i x="4" s="1"/>
        <i x="8" s="1"/>
        <i x="9" s="1"/>
        <i x="21" s="1"/>
        <i x="18" s="1"/>
        <i x="17" s="1"/>
        <i x="1" s="1"/>
        <i x="19" s="1"/>
        <i x="0" s="1"/>
        <i x="20" s="1"/>
        <i x="24" s="1"/>
        <i x="6" s="1"/>
        <i x="2" s="1"/>
        <i x="12" s="1"/>
        <i x="14" s="1"/>
        <i x="16" s="1"/>
        <i x="5" s="1"/>
        <i x="15" s="1"/>
        <i x="22" s="1"/>
        <i x="11" s="1"/>
        <i x="25" s="1"/>
        <i x="23" s="1"/>
        <i x="1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24911A0C-97D9-493D-8FF1-797CC18053A1}" sourceName="Region">
  <pivotTables>
    <pivotTable tabId="15" name="PivotTable6"/>
    <pivotTable tabId="15" name="PivotTable2"/>
    <pivotTable tabId="15" name="PivotTable3"/>
    <pivotTable tabId="15" name="PivotTable4"/>
    <pivotTable tabId="15" name="PivotTable7"/>
    <pivotTable tabId="15" name="PivotTable1"/>
    <pivotTable tabId="15" name="PivotTable5"/>
    <pivotTable tabId="15" name="PivotTable8"/>
  </pivotTables>
  <data>
    <tabular pivotCacheId="1795081316">
      <items count="6">
        <i x="5" s="1"/>
        <i x="1" s="1"/>
        <i x="0" s="1"/>
        <i x="3" s="1"/>
        <i x="4"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 xr10:uid="{25915CD0-DAD2-47F3-86FE-B4E63C2D7893}" sourceName="Rating">
  <pivotTables>
    <pivotTable tabId="15" name="PivotTable6"/>
    <pivotTable tabId="15" name="PivotTable2"/>
    <pivotTable tabId="15" name="PivotTable3"/>
    <pivotTable tabId="15" name="PivotTable4"/>
    <pivotTable tabId="15" name="PivotTable7"/>
    <pivotTable tabId="15" name="PivotTable1"/>
    <pivotTable tabId="15" name="PivotTable5"/>
    <pivotTable tabId="15" name="PivotTable8"/>
  </pivotTables>
  <data>
    <tabular pivotCacheId="1795081316">
      <items count="8">
        <i x="3" s="1"/>
        <i x="1" s="1"/>
        <i x="0" s="1"/>
        <i x="7" s="1"/>
        <i x="4" s="1"/>
        <i x="2" s="1"/>
        <i x="6" s="1"/>
        <i x="5"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8BCC404A-C770-4CE5-ABDE-C621FED5AE7C}" sourceName="Product">
  <pivotTables>
    <pivotTable tabId="15" name="PivotTable6"/>
    <pivotTable tabId="15" name="PivotTable2"/>
    <pivotTable tabId="15" name="PivotTable3"/>
    <pivotTable tabId="15" name="PivotTable4"/>
    <pivotTable tabId="15" name="PivotTable7"/>
    <pivotTable tabId="15" name="PivotTable1"/>
    <pivotTable tabId="15" name="PivotTable5"/>
    <pivotTable tabId="15" name="PivotTable8"/>
  </pivotTables>
  <data>
    <tabular pivotCacheId="1795081316">
      <items count="28">
        <i x="15" s="1"/>
        <i x="18" s="1"/>
        <i x="17" s="1"/>
        <i x="4" s="1"/>
        <i x="7" s="1"/>
        <i x="12" s="1"/>
        <i x="2" s="1"/>
        <i x="11" s="1"/>
        <i x="20" s="1"/>
        <i x="21" s="1"/>
        <i x="14" s="1"/>
        <i x="3" s="1"/>
        <i x="13" s="1"/>
        <i x="8" s="1"/>
        <i x="10" s="1"/>
        <i x="9" s="1"/>
        <i x="27" s="1"/>
        <i x="0" s="1"/>
        <i x="25" s="1"/>
        <i x="22" s="1"/>
        <i x="23" s="1"/>
        <i x="6" s="1"/>
        <i x="26" s="1"/>
        <i x="24" s="1"/>
        <i x="1" s="1"/>
        <i x="16" s="1"/>
        <i x="19" s="1"/>
        <i x="5"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otal_Cost" xr10:uid="{131DF892-66E1-48DF-84DC-C4E598B128A2}" sourceName="Total Cost">
  <pivotTables>
    <pivotTable tabId="15" name="PivotTable6"/>
    <pivotTable tabId="15" name="PivotTable2"/>
    <pivotTable tabId="15" name="PivotTable3"/>
    <pivotTable tabId="15" name="PivotTable4"/>
    <pivotTable tabId="15" name="PivotTable7"/>
    <pivotTable tabId="15" name="PivotTable1"/>
    <pivotTable tabId="15" name="PivotTable5"/>
    <pivotTable tabId="15" name="PivotTable8"/>
  </pivotTables>
  <data>
    <tabular pivotCacheId="1795081316">
      <items count="23">
        <i x="2" s="1"/>
        <i x="1" s="1"/>
        <i x="0" s="1"/>
        <i x="3" s="1"/>
        <i x="5" s="1"/>
        <i x="4" s="1"/>
        <i x="7" s="1"/>
        <i x="6" s="1"/>
        <i x="8" s="1"/>
        <i x="9" s="1"/>
        <i x="10" s="1"/>
        <i x="11" s="1"/>
        <i x="12" s="1"/>
        <i x="13" s="1"/>
        <i x="14" s="1"/>
        <i x="15" s="1"/>
        <i x="16" s="1"/>
        <i x="17" s="1"/>
        <i x="18" s="1"/>
        <i x="19" s="1"/>
        <i x="20" s="1"/>
        <i x="21" s="1"/>
        <i x="22"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74785DDE-E897-4CEE-AD75-5B8970164A9B}" sourceName="Year">
  <pivotTables>
    <pivotTable tabId="15" name="PivotTable2"/>
    <pivotTable tabId="15" name="PivotTable3"/>
    <pivotTable tabId="15" name="PivotTable4"/>
    <pivotTable tabId="15" name="PivotTable6"/>
    <pivotTable tabId="15" name="PivotTable7"/>
    <pivotTable tabId="15" name="PivotTable1"/>
    <pivotTable tabId="15" name="PivotTable5"/>
    <pivotTable tabId="15" name="PivotTable8"/>
  </pivotTables>
  <data>
    <tabular pivotCacheId="1795081316">
      <items count="28">
        <i x="0" s="1"/>
        <i x="1" s="1"/>
        <i x="2" s="1"/>
        <i x="3" s="1"/>
        <i x="4" s="1"/>
        <i x="5" s="1"/>
        <i x="6" s="1"/>
        <i x="7" s="1"/>
        <i x="8" s="1"/>
        <i x="9" s="1"/>
        <i x="10" s="1"/>
        <i x="11" s="1"/>
        <i x="12" s="1"/>
        <i x="13" s="1"/>
        <i x="14" s="1"/>
        <i x="15" s="1"/>
        <i x="16" s="1"/>
        <i x="17" s="1"/>
        <i x="18" s="1"/>
        <i x="19" s="1"/>
        <i x="20" s="1"/>
        <i x="21" s="1"/>
        <i x="22" s="1"/>
        <i x="23" s="1"/>
        <i x="24" s="1"/>
        <i x="25" s="1"/>
        <i x="26" s="1"/>
        <i x="27"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478B9504-EACA-4260-B33F-0ED2F2A35A28}" cache="Slicer_Name" caption="Name" rowHeight="241300"/>
  <slicer name="Region" xr10:uid="{264D1EBE-5A30-4956-AA2C-D15475D0547F}" cache="Slicer_Region" caption="Region" rowHeight="241300"/>
  <slicer name="Rating" xr10:uid="{20EBE793-2C4D-412A-9C91-6A7482FDE14C}" cache="Slicer_Rating" caption="Rating" rowHeight="241300"/>
  <slicer name="Product" xr10:uid="{58F98E4E-4053-4C98-A15E-BB95248C6922}" cache="Slicer_Product" caption="Product" rowHeight="241300"/>
  <slicer name="Total Cost" xr10:uid="{1CE986B4-B2A2-45B2-B1D2-95C021AFE10E}" cache="Slicer_Total_Cost" caption="Total Cost" rowHeight="241300"/>
  <slicer name="Year" xr10:uid="{87A5C6B9-85DD-4D6C-B979-C44E84F48161}" cache="Slicer_Year" caption="Year"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D63B1744-3C11-47BF-B683-ADC24679EFD2}" cache="Slicer_Region" caption="Region" style="SlicerStyleLight6" rowHeight="241300"/>
  <slicer name="Product 1" xr10:uid="{5D130047-3771-47FB-B95C-C6977B48938D}" cache="Slicer_Product" caption="Product" style="SlicerStyleLight6" rowHeight="241300"/>
  <slicer name="Year 1" xr10:uid="{7F99B7A6-E898-442F-A9A9-7D26BCAC8FA0}" cache="Slicer_Year" caption="Year" startItem="7" style="SlicerStyleLight6"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D67BE1A-6009-46AA-8547-5AE614133FF2}" name="Table3" displayName="Table3" ref="A1:K29" totalsRowShown="0" headerRowDxfId="60" dataDxfId="59">
  <autoFilter ref="A1:K29" xr:uid="{360532C1-52D2-4F90-A162-99EC0007A80A}"/>
  <tableColumns count="11">
    <tableColumn id="1" xr3:uid="{7238F6AA-3545-4D66-9D47-8A162D35DA26}" name="Date" dataDxfId="58"/>
    <tableColumn id="12" xr3:uid="{055CDE8B-7837-488F-A591-9C08E44077EF}" name="Year" dataDxfId="57">
      <calculatedColumnFormula>Table3[[#This Row],[Date]]</calculatedColumnFormula>
    </tableColumn>
    <tableColumn id="2" xr3:uid="{60611D3E-827B-4AEF-86E9-E53307E6B7D0}" name="ID" dataDxfId="56"/>
    <tableColumn id="3" xr3:uid="{C9A1041D-008D-49DC-9128-5F8AA11F0BDF}" name="Name" dataDxfId="55"/>
    <tableColumn id="4" xr3:uid="{85210129-41BC-4115-BD0C-69DAF3869898}" name="Region" dataDxfId="54"/>
    <tableColumn id="5" xr3:uid="{AB1C50DB-8E77-4B6E-B1EC-B308B162007E}" name="Rating" dataDxfId="53"/>
    <tableColumn id="6" xr3:uid="{E1126C6A-3AC7-4935-986B-FA38C5D0CF23}" name="Product" dataDxfId="52"/>
    <tableColumn id="7" xr3:uid="{352C0BEA-CFDE-48DF-A83E-086ABD033F92}" name="Quantity" dataDxfId="51"/>
    <tableColumn id="10" xr3:uid="{9FB3DADF-3B0D-4709-8E5A-8497383D2853}" name="Status" dataDxfId="50">
      <calculatedColumnFormula>IF(Table3[[#This Row],[Quantity]]=0, "Invalid Qty", "Valid")</calculatedColumnFormula>
    </tableColumn>
    <tableColumn id="8" xr3:uid="{E486A99C-60B7-496C-A2F3-8EDD4E601FE9}" name="Price Per Unit" dataDxfId="49" dataCellStyle="Comma"/>
    <tableColumn id="11" xr3:uid="{8AA22D03-E079-4922-A135-B8EEA4EDEB1D}" name="Total Cost" dataDxfId="48" dataCellStyle="Comma">
      <calculatedColumnFormula>Table3[[#This Row],[Price Per Unit]]*Table3[[#This Row],[Quantity]]</calculatedColumnFormula>
    </tableColumn>
  </tableColumns>
  <tableStyleInfo name="TableStyleLight1" showFirstColumn="0" showLastColumn="0" showRowStripes="1" showColumnStripes="0"/>
</table>
</file>

<file path=xl/theme/theme1.xml><?xml version="1.0" encoding="utf-8"?>
<a:theme xmlns:a="http://schemas.openxmlformats.org/drawingml/2006/main" name="Office 2013 - 2022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microsoft.com/office/2007/relationships/slicer" Target="../slicers/slicer1.xml"/><Relationship Id="rId5" Type="http://schemas.openxmlformats.org/officeDocument/2006/relationships/pivotTable" Target="../pivotTables/pivotTable5.xml"/><Relationship Id="rId10" Type="http://schemas.openxmlformats.org/officeDocument/2006/relationships/drawing" Target="../drawings/drawing1.xml"/><Relationship Id="rId4" Type="http://schemas.openxmlformats.org/officeDocument/2006/relationships/pivotTable" Target="../pivotTables/pivotTable4.xml"/><Relationship Id="rId9"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FA9445-17DE-4A17-9A0C-1D9F0D234EEC}">
  <sheetPr codeName="Sheet1"/>
  <dimension ref="A1:H32"/>
  <sheetViews>
    <sheetView workbookViewId="0">
      <selection activeCell="H10" sqref="H10"/>
    </sheetView>
  </sheetViews>
  <sheetFormatPr defaultRowHeight="14.5" x14ac:dyDescent="0.35"/>
  <cols>
    <col min="1" max="1" width="10.90625" customWidth="1"/>
    <col min="2" max="2" width="3" bestFit="1" customWidth="1"/>
    <col min="3" max="3" width="17.54296875" bestFit="1" customWidth="1"/>
    <col min="4" max="4" width="7.1796875" bestFit="1" customWidth="1"/>
    <col min="5" max="5" width="8.54296875" bestFit="1" customWidth="1"/>
    <col min="6" max="6" width="23.453125" bestFit="1" customWidth="1"/>
    <col min="7" max="7" width="8.81640625" bestFit="1" customWidth="1"/>
    <col min="8" max="8" width="13.1796875" bestFit="1" customWidth="1"/>
  </cols>
  <sheetData>
    <row r="1" spans="1:8" x14ac:dyDescent="0.35">
      <c r="A1" s="1" t="s">
        <v>0</v>
      </c>
      <c r="B1" s="1" t="s">
        <v>1</v>
      </c>
      <c r="C1" s="1" t="s">
        <v>2</v>
      </c>
      <c r="D1" s="1" t="s">
        <v>3</v>
      </c>
      <c r="E1" s="1" t="s">
        <v>4</v>
      </c>
      <c r="F1" s="1" t="s">
        <v>5</v>
      </c>
      <c r="G1" s="1" t="s">
        <v>6</v>
      </c>
      <c r="H1" s="1" t="s">
        <v>7</v>
      </c>
    </row>
    <row r="2" spans="1:8" ht="10" customHeight="1" x14ac:dyDescent="0.35">
      <c r="A2" s="2">
        <v>44227</v>
      </c>
      <c r="B2" s="3">
        <v>1</v>
      </c>
      <c r="C2" s="3" t="s">
        <v>8</v>
      </c>
      <c r="D2" s="3" t="s">
        <v>9</v>
      </c>
      <c r="E2" s="3" t="s">
        <v>10</v>
      </c>
      <c r="F2" s="3" t="s">
        <v>11</v>
      </c>
      <c r="G2" s="3">
        <v>10</v>
      </c>
      <c r="H2" s="4">
        <v>20</v>
      </c>
    </row>
    <row r="3" spans="1:8" ht="10" customHeight="1" x14ac:dyDescent="0.35">
      <c r="A3" s="2">
        <v>44255</v>
      </c>
      <c r="B3" s="3">
        <v>2</v>
      </c>
      <c r="C3" s="3" t="s">
        <v>12</v>
      </c>
      <c r="D3" s="3" t="s">
        <v>13</v>
      </c>
      <c r="E3" s="3" t="s">
        <v>14</v>
      </c>
      <c r="F3" s="3" t="s">
        <v>15</v>
      </c>
      <c r="G3" s="3">
        <v>15</v>
      </c>
      <c r="H3" s="4">
        <v>10</v>
      </c>
    </row>
    <row r="4" spans="1:8" ht="10" customHeight="1" x14ac:dyDescent="0.35">
      <c r="A4" s="2">
        <v>44286</v>
      </c>
      <c r="B4" s="3">
        <v>3</v>
      </c>
      <c r="C4" s="3" t="s">
        <v>16</v>
      </c>
      <c r="D4" s="3" t="s">
        <v>17</v>
      </c>
      <c r="E4" s="3" t="s">
        <v>18</v>
      </c>
      <c r="F4" s="3" t="s">
        <v>19</v>
      </c>
      <c r="G4" s="3">
        <v>0</v>
      </c>
      <c r="H4" s="3" t="s">
        <v>20</v>
      </c>
    </row>
    <row r="5" spans="1:8" ht="10" customHeight="1" x14ac:dyDescent="0.35">
      <c r="A5" s="2">
        <v>44316</v>
      </c>
      <c r="B5" s="3">
        <v>4</v>
      </c>
      <c r="C5" s="3" t="s">
        <v>21</v>
      </c>
      <c r="D5" s="3" t="s">
        <v>22</v>
      </c>
      <c r="E5" s="3" t="s">
        <v>23</v>
      </c>
      <c r="F5" s="3" t="s">
        <v>24</v>
      </c>
      <c r="G5" s="3">
        <v>25</v>
      </c>
      <c r="H5" s="4">
        <v>10</v>
      </c>
    </row>
    <row r="6" spans="1:8" x14ac:dyDescent="0.35">
      <c r="A6" s="2">
        <v>44347</v>
      </c>
      <c r="B6" s="3">
        <v>5</v>
      </c>
      <c r="C6" s="3" t="s">
        <v>25</v>
      </c>
      <c r="D6" s="3" t="s">
        <v>13</v>
      </c>
      <c r="E6" s="3" t="s">
        <v>10</v>
      </c>
      <c r="F6" s="3" t="s">
        <v>26</v>
      </c>
      <c r="G6" s="3">
        <v>30</v>
      </c>
      <c r="H6" s="4">
        <v>16.670000000000002</v>
      </c>
    </row>
    <row r="7" spans="1:8" x14ac:dyDescent="0.35">
      <c r="A7" s="2">
        <v>44377</v>
      </c>
      <c r="B7" s="3">
        <v>6</v>
      </c>
      <c r="C7" s="3" t="s">
        <v>27</v>
      </c>
      <c r="D7" s="3"/>
      <c r="E7" s="3" t="s">
        <v>14</v>
      </c>
      <c r="F7" s="3" t="s">
        <v>28</v>
      </c>
      <c r="G7" s="3">
        <v>0</v>
      </c>
      <c r="H7" s="3" t="s">
        <v>20</v>
      </c>
    </row>
    <row r="8" spans="1:8" x14ac:dyDescent="0.35">
      <c r="A8" s="2">
        <v>44408</v>
      </c>
      <c r="B8" s="3">
        <v>7</v>
      </c>
      <c r="C8" s="3" t="s">
        <v>29</v>
      </c>
      <c r="D8" s="3" t="s">
        <v>17</v>
      </c>
      <c r="E8" s="3" t="s">
        <v>18</v>
      </c>
      <c r="F8" s="3" t="s">
        <v>30</v>
      </c>
      <c r="G8" s="3">
        <v>35</v>
      </c>
      <c r="H8" s="4">
        <v>10</v>
      </c>
    </row>
    <row r="9" spans="1:8" x14ac:dyDescent="0.35">
      <c r="A9" s="2">
        <v>44439</v>
      </c>
      <c r="B9" s="3">
        <v>8</v>
      </c>
      <c r="C9" s="3" t="s">
        <v>31</v>
      </c>
      <c r="D9" s="3" t="s">
        <v>22</v>
      </c>
      <c r="E9" s="3" t="s">
        <v>23</v>
      </c>
      <c r="F9" s="3" t="s">
        <v>32</v>
      </c>
      <c r="G9" s="3">
        <v>40</v>
      </c>
      <c r="H9" s="4">
        <v>15</v>
      </c>
    </row>
    <row r="10" spans="1:8" x14ac:dyDescent="0.35">
      <c r="A10" s="2">
        <v>44469</v>
      </c>
      <c r="B10" s="3">
        <v>9</v>
      </c>
      <c r="C10" s="3" t="s">
        <v>33</v>
      </c>
      <c r="D10" s="3" t="s">
        <v>13</v>
      </c>
      <c r="E10" s="3" t="s">
        <v>10</v>
      </c>
      <c r="F10" s="3" t="s">
        <v>34</v>
      </c>
      <c r="G10" s="3">
        <v>45</v>
      </c>
      <c r="H10" s="4">
        <v>12.22</v>
      </c>
    </row>
    <row r="11" spans="1:8" ht="10" customHeight="1" x14ac:dyDescent="0.35">
      <c r="A11" s="2">
        <v>44500</v>
      </c>
      <c r="B11" s="3">
        <v>10</v>
      </c>
      <c r="C11" s="3" t="s">
        <v>35</v>
      </c>
      <c r="D11" s="3" t="s">
        <v>9</v>
      </c>
      <c r="E11" s="3" t="s">
        <v>14</v>
      </c>
      <c r="F11" s="3" t="s">
        <v>36</v>
      </c>
      <c r="G11" s="3">
        <v>50</v>
      </c>
      <c r="H11" s="4">
        <v>14</v>
      </c>
    </row>
    <row r="12" spans="1:8" ht="10" customHeight="1" x14ac:dyDescent="0.35">
      <c r="A12" s="2">
        <v>44530</v>
      </c>
      <c r="B12" s="3">
        <v>11</v>
      </c>
      <c r="C12" s="3" t="s">
        <v>37</v>
      </c>
      <c r="D12" s="3" t="s">
        <v>17</v>
      </c>
      <c r="E12" s="3" t="s">
        <v>18</v>
      </c>
      <c r="F12" s="3" t="s">
        <v>38</v>
      </c>
      <c r="G12" s="3">
        <v>5</v>
      </c>
      <c r="H12" s="4">
        <v>160</v>
      </c>
    </row>
    <row r="13" spans="1:8" ht="10" customHeight="1" x14ac:dyDescent="0.35">
      <c r="A13" s="2">
        <v>44561</v>
      </c>
      <c r="B13" s="3">
        <v>12</v>
      </c>
      <c r="C13" s="3" t="s">
        <v>39</v>
      </c>
      <c r="D13" s="3" t="s">
        <v>22</v>
      </c>
      <c r="E13" s="3" t="s">
        <v>23</v>
      </c>
      <c r="F13" s="3" t="s">
        <v>40</v>
      </c>
      <c r="G13" s="3">
        <v>20</v>
      </c>
      <c r="H13" s="4">
        <v>45</v>
      </c>
    </row>
    <row r="14" spans="1:8" ht="20.149999999999999" customHeight="1" x14ac:dyDescent="0.35">
      <c r="A14" s="2">
        <v>44592</v>
      </c>
      <c r="B14" s="3">
        <v>13</v>
      </c>
      <c r="C14" s="3" t="s">
        <v>41</v>
      </c>
      <c r="D14" s="3" t="s">
        <v>13</v>
      </c>
      <c r="E14" s="3" t="s">
        <v>10</v>
      </c>
      <c r="F14" s="3" t="s">
        <v>42</v>
      </c>
      <c r="G14" s="3">
        <v>0</v>
      </c>
      <c r="H14" s="3" t="s">
        <v>20</v>
      </c>
    </row>
    <row r="15" spans="1:8" ht="20.149999999999999" customHeight="1" x14ac:dyDescent="0.35">
      <c r="A15" s="2">
        <v>44620</v>
      </c>
      <c r="B15" s="3">
        <v>14</v>
      </c>
      <c r="C15" s="3" t="s">
        <v>43</v>
      </c>
      <c r="D15" s="3"/>
      <c r="E15" s="3" t="s">
        <v>14</v>
      </c>
      <c r="F15" s="3" t="s">
        <v>44</v>
      </c>
      <c r="G15" s="3">
        <v>30</v>
      </c>
      <c r="H15" s="4">
        <v>36.67</v>
      </c>
    </row>
    <row r="16" spans="1:8" ht="20.149999999999999" customHeight="1" x14ac:dyDescent="0.35">
      <c r="A16" s="2">
        <v>44316</v>
      </c>
      <c r="B16" s="3">
        <v>4</v>
      </c>
      <c r="C16" s="3" t="s">
        <v>21</v>
      </c>
      <c r="D16" s="3" t="s">
        <v>22</v>
      </c>
      <c r="E16" s="3" t="s">
        <v>23</v>
      </c>
      <c r="F16" s="3" t="s">
        <v>24</v>
      </c>
      <c r="G16" s="3">
        <v>25</v>
      </c>
      <c r="H16" s="4">
        <v>10</v>
      </c>
    </row>
    <row r="17" spans="1:8" ht="20.149999999999999" customHeight="1" x14ac:dyDescent="0.35">
      <c r="A17" s="2">
        <v>44347</v>
      </c>
      <c r="B17" s="3">
        <v>5</v>
      </c>
      <c r="C17" s="3" t="s">
        <v>25</v>
      </c>
      <c r="D17" s="3" t="s">
        <v>13</v>
      </c>
      <c r="E17" s="3" t="s">
        <v>10</v>
      </c>
      <c r="F17" s="3" t="s">
        <v>26</v>
      </c>
      <c r="G17" s="3">
        <v>30</v>
      </c>
      <c r="H17" s="4">
        <v>16.670000000000002</v>
      </c>
    </row>
    <row r="18" spans="1:8" ht="20.149999999999999" customHeight="1" x14ac:dyDescent="0.35">
      <c r="A18" s="2">
        <v>44377</v>
      </c>
      <c r="B18" s="3">
        <v>6</v>
      </c>
      <c r="C18" s="3" t="s">
        <v>27</v>
      </c>
      <c r="D18" s="3"/>
      <c r="E18" s="3" t="s">
        <v>14</v>
      </c>
      <c r="F18" s="3" t="s">
        <v>28</v>
      </c>
      <c r="G18" s="3">
        <v>0</v>
      </c>
      <c r="H18" s="3" t="s">
        <v>20</v>
      </c>
    </row>
    <row r="19" spans="1:8" ht="20.149999999999999" customHeight="1" x14ac:dyDescent="0.35">
      <c r="A19" s="2">
        <v>44651</v>
      </c>
      <c r="B19" s="3">
        <v>15</v>
      </c>
      <c r="C19" s="3" t="s">
        <v>45</v>
      </c>
      <c r="D19" s="3" t="s">
        <v>17</v>
      </c>
      <c r="E19" s="3" t="s">
        <v>18</v>
      </c>
      <c r="F19" s="3" t="s">
        <v>46</v>
      </c>
      <c r="G19" s="3">
        <v>35</v>
      </c>
      <c r="H19" s="4">
        <v>34.29</v>
      </c>
    </row>
    <row r="20" spans="1:8" ht="20.149999999999999" customHeight="1" x14ac:dyDescent="0.35">
      <c r="A20" s="2">
        <v>44681</v>
      </c>
      <c r="B20" s="3">
        <v>16</v>
      </c>
      <c r="C20" s="3" t="s">
        <v>47</v>
      </c>
      <c r="D20" s="3"/>
      <c r="E20" s="3" t="s">
        <v>23</v>
      </c>
      <c r="F20" s="3" t="s">
        <v>48</v>
      </c>
      <c r="G20" s="3">
        <v>0</v>
      </c>
      <c r="H20" s="3" t="s">
        <v>20</v>
      </c>
    </row>
    <row r="21" spans="1:8" ht="20.149999999999999" customHeight="1" x14ac:dyDescent="0.35">
      <c r="A21" s="2">
        <v>44712</v>
      </c>
      <c r="B21" s="3">
        <v>17</v>
      </c>
      <c r="C21" s="3" t="s">
        <v>49</v>
      </c>
      <c r="D21" s="3" t="s">
        <v>13</v>
      </c>
      <c r="E21" s="3" t="s">
        <v>10</v>
      </c>
      <c r="F21" s="3" t="s">
        <v>50</v>
      </c>
      <c r="G21" s="3">
        <v>40</v>
      </c>
      <c r="H21" s="4">
        <v>35</v>
      </c>
    </row>
    <row r="22" spans="1:8" ht="20.149999999999999" customHeight="1" x14ac:dyDescent="0.35">
      <c r="A22" s="2">
        <v>44742</v>
      </c>
      <c r="B22" s="3">
        <v>18</v>
      </c>
      <c r="C22" s="3" t="s">
        <v>51</v>
      </c>
      <c r="D22" s="3" t="s">
        <v>9</v>
      </c>
      <c r="E22" s="3" t="s">
        <v>14</v>
      </c>
      <c r="F22" s="3" t="s">
        <v>52</v>
      </c>
      <c r="G22" s="3">
        <v>45</v>
      </c>
      <c r="H22" s="4">
        <v>33.33</v>
      </c>
    </row>
    <row r="23" spans="1:8" ht="20.149999999999999" customHeight="1" x14ac:dyDescent="0.35">
      <c r="A23" s="2">
        <v>44773</v>
      </c>
      <c r="B23" s="3">
        <v>19</v>
      </c>
      <c r="C23" s="3" t="s">
        <v>53</v>
      </c>
      <c r="D23" s="3" t="s">
        <v>17</v>
      </c>
      <c r="E23" s="3" t="s">
        <v>18</v>
      </c>
      <c r="F23" s="3" t="s">
        <v>54</v>
      </c>
      <c r="G23" s="3">
        <v>50</v>
      </c>
      <c r="H23" s="4">
        <v>32</v>
      </c>
    </row>
    <row r="24" spans="1:8" ht="20.149999999999999" customHeight="1" x14ac:dyDescent="0.35">
      <c r="A24" s="2">
        <v>44804</v>
      </c>
      <c r="B24" s="3">
        <v>20</v>
      </c>
      <c r="C24" s="3" t="s">
        <v>55</v>
      </c>
      <c r="D24" s="3" t="s">
        <v>22</v>
      </c>
      <c r="E24" s="3" t="s">
        <v>23</v>
      </c>
      <c r="F24" s="3" t="s">
        <v>56</v>
      </c>
      <c r="G24" s="3">
        <v>55</v>
      </c>
      <c r="H24" s="4">
        <v>30.91</v>
      </c>
    </row>
    <row r="25" spans="1:8" ht="20.149999999999999" customHeight="1" x14ac:dyDescent="0.35">
      <c r="A25" s="2">
        <v>44834</v>
      </c>
      <c r="B25" s="3">
        <v>21</v>
      </c>
      <c r="C25" s="3" t="s">
        <v>57</v>
      </c>
      <c r="D25" s="3" t="s">
        <v>13</v>
      </c>
      <c r="E25" s="3" t="s">
        <v>10</v>
      </c>
      <c r="F25" s="3" t="s">
        <v>58</v>
      </c>
      <c r="G25" s="3">
        <v>60</v>
      </c>
      <c r="H25" s="4">
        <v>30</v>
      </c>
    </row>
    <row r="26" spans="1:8" ht="20.149999999999999" customHeight="1" x14ac:dyDescent="0.35">
      <c r="A26" s="2">
        <v>44865</v>
      </c>
      <c r="B26" s="3">
        <v>22</v>
      </c>
      <c r="C26" s="3" t="s">
        <v>59</v>
      </c>
      <c r="D26" s="3" t="s">
        <v>9</v>
      </c>
      <c r="E26" s="3" t="s">
        <v>14</v>
      </c>
      <c r="F26" s="3" t="s">
        <v>60</v>
      </c>
      <c r="G26" s="3">
        <v>0</v>
      </c>
      <c r="H26" s="3" t="s">
        <v>20</v>
      </c>
    </row>
    <row r="27" spans="1:8" ht="20.149999999999999" customHeight="1" x14ac:dyDescent="0.35">
      <c r="A27" s="2">
        <v>44895</v>
      </c>
      <c r="B27" s="3">
        <v>23</v>
      </c>
      <c r="C27" s="3" t="s">
        <v>61</v>
      </c>
      <c r="D27" s="3" t="s">
        <v>17</v>
      </c>
      <c r="E27" s="3" t="s">
        <v>18</v>
      </c>
      <c r="F27" s="3" t="s">
        <v>62</v>
      </c>
      <c r="G27" s="3">
        <v>65</v>
      </c>
      <c r="H27" s="4">
        <v>30.77</v>
      </c>
    </row>
    <row r="28" spans="1:8" ht="20.149999999999999" customHeight="1" x14ac:dyDescent="0.35">
      <c r="A28" s="2">
        <v>44926</v>
      </c>
      <c r="B28" s="3">
        <v>24</v>
      </c>
      <c r="C28" s="3" t="s">
        <v>63</v>
      </c>
      <c r="D28" s="3" t="s">
        <v>22</v>
      </c>
      <c r="E28" s="3" t="s">
        <v>23</v>
      </c>
      <c r="F28" s="3" t="s">
        <v>64</v>
      </c>
      <c r="G28" s="3">
        <v>70</v>
      </c>
      <c r="H28" s="4">
        <v>30</v>
      </c>
    </row>
    <row r="29" spans="1:8" ht="20.149999999999999" customHeight="1" x14ac:dyDescent="0.35">
      <c r="A29" s="2">
        <v>44957</v>
      </c>
      <c r="B29" s="3">
        <v>25</v>
      </c>
      <c r="C29" s="3" t="s">
        <v>65</v>
      </c>
      <c r="D29" s="3" t="s">
        <v>66</v>
      </c>
      <c r="E29" s="3" t="s">
        <v>67</v>
      </c>
      <c r="F29" s="3" t="s">
        <v>68</v>
      </c>
      <c r="G29" s="3">
        <v>75</v>
      </c>
      <c r="H29" s="4">
        <v>29.33</v>
      </c>
    </row>
    <row r="30" spans="1:8" ht="20.149999999999999" customHeight="1" x14ac:dyDescent="0.35">
      <c r="A30" s="2">
        <v>44985</v>
      </c>
      <c r="B30" s="3">
        <v>26</v>
      </c>
      <c r="C30" s="3" t="s">
        <v>69</v>
      </c>
      <c r="D30" s="3" t="s">
        <v>66</v>
      </c>
      <c r="E30" s="3" t="s">
        <v>70</v>
      </c>
      <c r="F30" s="3" t="s">
        <v>71</v>
      </c>
      <c r="G30" s="3">
        <v>80</v>
      </c>
      <c r="H30" s="4">
        <v>28.75</v>
      </c>
    </row>
    <row r="31" spans="1:8" ht="20.149999999999999" customHeight="1" x14ac:dyDescent="0.35">
      <c r="A31" s="2">
        <v>45016</v>
      </c>
      <c r="B31" s="3">
        <v>27</v>
      </c>
      <c r="C31" s="3" t="s">
        <v>41</v>
      </c>
      <c r="D31" s="3" t="s">
        <v>13</v>
      </c>
      <c r="E31" s="3" t="s">
        <v>72</v>
      </c>
      <c r="F31" s="3" t="s">
        <v>73</v>
      </c>
      <c r="G31" s="3">
        <v>0</v>
      </c>
      <c r="H31" s="3" t="s">
        <v>20</v>
      </c>
    </row>
    <row r="32" spans="1:8" ht="20.149999999999999" customHeight="1" x14ac:dyDescent="0.35">
      <c r="A32" s="2">
        <v>45046</v>
      </c>
      <c r="B32" s="3">
        <v>28</v>
      </c>
      <c r="C32" s="3" t="s">
        <v>39</v>
      </c>
      <c r="D32" s="3" t="s">
        <v>22</v>
      </c>
      <c r="E32" s="3" t="s">
        <v>74</v>
      </c>
      <c r="F32" s="3" t="s">
        <v>75</v>
      </c>
      <c r="G32" s="3">
        <v>85</v>
      </c>
      <c r="H32" s="4">
        <v>29.41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81F177-6480-491C-9F2B-396D75CDAB8D}">
  <sheetPr codeName="Sheet2"/>
  <dimension ref="A1:K29"/>
  <sheetViews>
    <sheetView workbookViewId="0"/>
  </sheetViews>
  <sheetFormatPr defaultRowHeight="14.5" x14ac:dyDescent="0.35"/>
  <cols>
    <col min="1" max="1" width="10.453125" bestFit="1" customWidth="1"/>
    <col min="2" max="2" width="6.81640625" bestFit="1" customWidth="1"/>
    <col min="3" max="3" width="4.90625" bestFit="1" customWidth="1"/>
    <col min="4" max="4" width="16.453125" bestFit="1" customWidth="1"/>
    <col min="5" max="5" width="8.81640625" bestFit="1" customWidth="1"/>
    <col min="6" max="6" width="8.36328125" bestFit="1" customWidth="1"/>
    <col min="7" max="7" width="21.81640625" bestFit="1" customWidth="1"/>
    <col min="8" max="8" width="10.453125" bestFit="1" customWidth="1"/>
    <col min="9" max="9" width="9.7265625" bestFit="1" customWidth="1"/>
    <col min="10" max="10" width="14.453125" bestFit="1" customWidth="1"/>
    <col min="11" max="11" width="11.54296875" bestFit="1" customWidth="1"/>
  </cols>
  <sheetData>
    <row r="1" spans="1:11" ht="15" thickBot="1" x14ac:dyDescent="0.4">
      <c r="A1" s="1" t="s">
        <v>0</v>
      </c>
      <c r="B1" s="1" t="s">
        <v>89</v>
      </c>
      <c r="C1" s="1" t="s">
        <v>1</v>
      </c>
      <c r="D1" s="1" t="s">
        <v>2</v>
      </c>
      <c r="E1" s="1" t="s">
        <v>3</v>
      </c>
      <c r="F1" s="1" t="s">
        <v>4</v>
      </c>
      <c r="G1" s="1" t="s">
        <v>5</v>
      </c>
      <c r="H1" s="1" t="s">
        <v>6</v>
      </c>
      <c r="I1" s="1" t="s">
        <v>81</v>
      </c>
      <c r="J1" s="1" t="s">
        <v>7</v>
      </c>
      <c r="K1" s="1" t="s">
        <v>82</v>
      </c>
    </row>
    <row r="2" spans="1:11" x14ac:dyDescent="0.35">
      <c r="A2" s="7">
        <v>44227</v>
      </c>
      <c r="B2" s="22">
        <f>Table3[[#This Row],[Date]]</f>
        <v>44227</v>
      </c>
      <c r="C2" s="8">
        <v>1</v>
      </c>
      <c r="D2" s="8" t="s">
        <v>79</v>
      </c>
      <c r="E2" s="8" t="s">
        <v>9</v>
      </c>
      <c r="F2" s="8" t="s">
        <v>10</v>
      </c>
      <c r="G2" s="8" t="s">
        <v>11</v>
      </c>
      <c r="H2" s="8">
        <v>10</v>
      </c>
      <c r="I2" s="8" t="str">
        <f>IF(Table3[[#This Row],[Quantity]]=0, "Invalid Qty", "Valid")</f>
        <v>Valid</v>
      </c>
      <c r="J2" s="9">
        <v>20</v>
      </c>
      <c r="K2" s="10">
        <f>Table3[[#This Row],[Price Per Unit]]*Table3[[#This Row],[Quantity]]</f>
        <v>200</v>
      </c>
    </row>
    <row r="3" spans="1:11" x14ac:dyDescent="0.35">
      <c r="A3" s="11">
        <v>44255</v>
      </c>
      <c r="B3" s="23">
        <f>Table3[[#This Row],[Date]]</f>
        <v>44255</v>
      </c>
      <c r="C3" s="5">
        <v>2</v>
      </c>
      <c r="D3" s="5" t="s">
        <v>12</v>
      </c>
      <c r="E3" s="5" t="s">
        <v>13</v>
      </c>
      <c r="F3" s="5" t="s">
        <v>14</v>
      </c>
      <c r="G3" s="5" t="s">
        <v>15</v>
      </c>
      <c r="H3" s="5">
        <v>15</v>
      </c>
      <c r="I3" s="5" t="str">
        <f>IF(Table3[[#This Row],[Quantity]]=0, "Invalid Qty", "Valid")</f>
        <v>Valid</v>
      </c>
      <c r="J3" s="6">
        <v>10</v>
      </c>
      <c r="K3" s="12">
        <f>Table3[[#This Row],[Price Per Unit]]*Table3[[#This Row],[Quantity]]</f>
        <v>150</v>
      </c>
    </row>
    <row r="4" spans="1:11" x14ac:dyDescent="0.35">
      <c r="A4" s="11">
        <v>44286</v>
      </c>
      <c r="B4" s="23">
        <f>Table3[[#This Row],[Date]]</f>
        <v>44286</v>
      </c>
      <c r="C4" s="5">
        <v>3</v>
      </c>
      <c r="D4" s="5" t="s">
        <v>76</v>
      </c>
      <c r="E4" s="5" t="s">
        <v>17</v>
      </c>
      <c r="F4" s="5" t="s">
        <v>18</v>
      </c>
      <c r="G4" s="5" t="s">
        <v>19</v>
      </c>
      <c r="H4" s="5">
        <v>0</v>
      </c>
      <c r="I4" s="5" t="str">
        <f>IF(Table3[[#This Row],[Quantity]]=0, "Invalid Qty", "Valid")</f>
        <v>Invalid Qty</v>
      </c>
      <c r="J4" s="6"/>
      <c r="K4" s="12">
        <f>Table3[[#This Row],[Price Per Unit]]*Table3[[#This Row],[Quantity]]</f>
        <v>0</v>
      </c>
    </row>
    <row r="5" spans="1:11" x14ac:dyDescent="0.35">
      <c r="A5" s="11">
        <v>44316</v>
      </c>
      <c r="B5" s="23">
        <f>Table3[[#This Row],[Date]]</f>
        <v>44316</v>
      </c>
      <c r="C5" s="5">
        <v>4</v>
      </c>
      <c r="D5" s="5" t="s">
        <v>77</v>
      </c>
      <c r="E5" s="5" t="s">
        <v>22</v>
      </c>
      <c r="F5" s="5" t="s">
        <v>23</v>
      </c>
      <c r="G5" s="5" t="s">
        <v>24</v>
      </c>
      <c r="H5" s="5">
        <v>25</v>
      </c>
      <c r="I5" s="5" t="str">
        <f>IF(Table3[[#This Row],[Quantity]]=0, "Invalid Qty", "Valid")</f>
        <v>Valid</v>
      </c>
      <c r="J5" s="6">
        <v>10</v>
      </c>
      <c r="K5" s="12">
        <f>Table3[[#This Row],[Price Per Unit]]*Table3[[#This Row],[Quantity]]</f>
        <v>250</v>
      </c>
    </row>
    <row r="6" spans="1:11" x14ac:dyDescent="0.35">
      <c r="A6" s="11">
        <v>44347</v>
      </c>
      <c r="B6" s="23">
        <f>Table3[[#This Row],[Date]]</f>
        <v>44347</v>
      </c>
      <c r="C6" s="5">
        <v>5</v>
      </c>
      <c r="D6" s="5" t="s">
        <v>25</v>
      </c>
      <c r="E6" s="5" t="s">
        <v>13</v>
      </c>
      <c r="F6" s="5" t="s">
        <v>10</v>
      </c>
      <c r="G6" s="5" t="s">
        <v>26</v>
      </c>
      <c r="H6" s="5">
        <v>30</v>
      </c>
      <c r="I6" s="5" t="str">
        <f>IF(Table3[[#This Row],[Quantity]]=0, "Invalid Qty", "Valid")</f>
        <v>Valid</v>
      </c>
      <c r="J6" s="6">
        <v>16.670000000000002</v>
      </c>
      <c r="K6" s="12">
        <f>Table3[[#This Row],[Price Per Unit]]*Table3[[#This Row],[Quantity]]</f>
        <v>500.1</v>
      </c>
    </row>
    <row r="7" spans="1:11" x14ac:dyDescent="0.35">
      <c r="A7" s="11">
        <v>44377</v>
      </c>
      <c r="B7" s="23">
        <f>Table3[[#This Row],[Date]]</f>
        <v>44377</v>
      </c>
      <c r="C7" s="5">
        <v>6</v>
      </c>
      <c r="D7" s="5" t="s">
        <v>78</v>
      </c>
      <c r="E7" s="5" t="s">
        <v>80</v>
      </c>
      <c r="F7" s="5" t="s">
        <v>14</v>
      </c>
      <c r="G7" s="5" t="s">
        <v>28</v>
      </c>
      <c r="H7" s="5">
        <v>0</v>
      </c>
      <c r="I7" s="5" t="str">
        <f>IF(Table3[[#This Row],[Quantity]]=0, "Invalid Qty", "Valid")</f>
        <v>Invalid Qty</v>
      </c>
      <c r="J7" s="6"/>
      <c r="K7" s="12">
        <f>Table3[[#This Row],[Price Per Unit]]*Table3[[#This Row],[Quantity]]</f>
        <v>0</v>
      </c>
    </row>
    <row r="8" spans="1:11" x14ac:dyDescent="0.35">
      <c r="A8" s="11">
        <v>44408</v>
      </c>
      <c r="B8" s="23">
        <f>Table3[[#This Row],[Date]]</f>
        <v>44408</v>
      </c>
      <c r="C8" s="5">
        <v>7</v>
      </c>
      <c r="D8" s="5" t="s">
        <v>29</v>
      </c>
      <c r="E8" s="5" t="s">
        <v>17</v>
      </c>
      <c r="F8" s="5" t="s">
        <v>18</v>
      </c>
      <c r="G8" s="5" t="s">
        <v>30</v>
      </c>
      <c r="H8" s="5">
        <v>35</v>
      </c>
      <c r="I8" s="5" t="str">
        <f>IF(Table3[[#This Row],[Quantity]]=0, "Invalid Qty", "Valid")</f>
        <v>Valid</v>
      </c>
      <c r="J8" s="6">
        <v>10</v>
      </c>
      <c r="K8" s="12">
        <f>Table3[[#This Row],[Price Per Unit]]*Table3[[#This Row],[Quantity]]</f>
        <v>350</v>
      </c>
    </row>
    <row r="9" spans="1:11" x14ac:dyDescent="0.35">
      <c r="A9" s="11">
        <v>44439</v>
      </c>
      <c r="B9" s="23">
        <f>Table3[[#This Row],[Date]]</f>
        <v>44439</v>
      </c>
      <c r="C9" s="5">
        <v>8</v>
      </c>
      <c r="D9" s="5" t="s">
        <v>31</v>
      </c>
      <c r="E9" s="5" t="s">
        <v>22</v>
      </c>
      <c r="F9" s="5" t="s">
        <v>23</v>
      </c>
      <c r="G9" s="5" t="s">
        <v>32</v>
      </c>
      <c r="H9" s="5">
        <v>40</v>
      </c>
      <c r="I9" s="5" t="str">
        <f>IF(Table3[[#This Row],[Quantity]]=0, "Invalid Qty", "Valid")</f>
        <v>Valid</v>
      </c>
      <c r="J9" s="6">
        <v>15</v>
      </c>
      <c r="K9" s="12">
        <f>Table3[[#This Row],[Price Per Unit]]*Table3[[#This Row],[Quantity]]</f>
        <v>600</v>
      </c>
    </row>
    <row r="10" spans="1:11" x14ac:dyDescent="0.35">
      <c r="A10" s="11">
        <v>44469</v>
      </c>
      <c r="B10" s="23">
        <f>Table3[[#This Row],[Date]]</f>
        <v>44469</v>
      </c>
      <c r="C10" s="5">
        <v>9</v>
      </c>
      <c r="D10" s="5" t="s">
        <v>33</v>
      </c>
      <c r="E10" s="5" t="s">
        <v>13</v>
      </c>
      <c r="F10" s="5" t="s">
        <v>10</v>
      </c>
      <c r="G10" s="5" t="s">
        <v>34</v>
      </c>
      <c r="H10" s="5">
        <v>45</v>
      </c>
      <c r="I10" s="5" t="str">
        <f>IF(Table3[[#This Row],[Quantity]]=0, "Invalid Qty", "Valid")</f>
        <v>Valid</v>
      </c>
      <c r="J10" s="6">
        <v>12.22</v>
      </c>
      <c r="K10" s="12">
        <f>Table3[[#This Row],[Price Per Unit]]*Table3[[#This Row],[Quantity]]</f>
        <v>549.9</v>
      </c>
    </row>
    <row r="11" spans="1:11" x14ac:dyDescent="0.35">
      <c r="A11" s="11">
        <v>44500</v>
      </c>
      <c r="B11" s="23">
        <f>Table3[[#This Row],[Date]]</f>
        <v>44500</v>
      </c>
      <c r="C11" s="5">
        <v>10</v>
      </c>
      <c r="D11" s="5" t="s">
        <v>35</v>
      </c>
      <c r="E11" s="5" t="s">
        <v>9</v>
      </c>
      <c r="F11" s="5" t="s">
        <v>14</v>
      </c>
      <c r="G11" s="5" t="s">
        <v>36</v>
      </c>
      <c r="H11" s="5">
        <v>50</v>
      </c>
      <c r="I11" s="5" t="str">
        <f>IF(Table3[[#This Row],[Quantity]]=0, "Invalid Qty", "Valid")</f>
        <v>Valid</v>
      </c>
      <c r="J11" s="6">
        <v>14</v>
      </c>
      <c r="K11" s="12">
        <f>Table3[[#This Row],[Price Per Unit]]*Table3[[#This Row],[Quantity]]</f>
        <v>700</v>
      </c>
    </row>
    <row r="12" spans="1:11" x14ac:dyDescent="0.35">
      <c r="A12" s="11">
        <v>44530</v>
      </c>
      <c r="B12" s="23">
        <f>Table3[[#This Row],[Date]]</f>
        <v>44530</v>
      </c>
      <c r="C12" s="5">
        <v>11</v>
      </c>
      <c r="D12" s="5" t="s">
        <v>37</v>
      </c>
      <c r="E12" s="5" t="s">
        <v>17</v>
      </c>
      <c r="F12" s="5" t="s">
        <v>18</v>
      </c>
      <c r="G12" s="5" t="s">
        <v>38</v>
      </c>
      <c r="H12" s="5">
        <v>5</v>
      </c>
      <c r="I12" s="5" t="str">
        <f>IF(Table3[[#This Row],[Quantity]]=0, "Invalid Qty", "Valid")</f>
        <v>Valid</v>
      </c>
      <c r="J12" s="6">
        <v>160</v>
      </c>
      <c r="K12" s="12">
        <f>Table3[[#This Row],[Price Per Unit]]*Table3[[#This Row],[Quantity]]</f>
        <v>800</v>
      </c>
    </row>
    <row r="13" spans="1:11" x14ac:dyDescent="0.35">
      <c r="A13" s="11">
        <v>44561</v>
      </c>
      <c r="B13" s="23">
        <f>Table3[[#This Row],[Date]]</f>
        <v>44561</v>
      </c>
      <c r="C13" s="5">
        <v>12</v>
      </c>
      <c r="D13" s="5" t="s">
        <v>39</v>
      </c>
      <c r="E13" s="5" t="s">
        <v>22</v>
      </c>
      <c r="F13" s="5" t="s">
        <v>23</v>
      </c>
      <c r="G13" s="5" t="s">
        <v>40</v>
      </c>
      <c r="H13" s="5">
        <v>20</v>
      </c>
      <c r="I13" s="5" t="str">
        <f>IF(Table3[[#This Row],[Quantity]]=0, "Invalid Qty", "Valid")</f>
        <v>Valid</v>
      </c>
      <c r="J13" s="6">
        <v>45</v>
      </c>
      <c r="K13" s="12">
        <f>Table3[[#This Row],[Price Per Unit]]*Table3[[#This Row],[Quantity]]</f>
        <v>900</v>
      </c>
    </row>
    <row r="14" spans="1:11" x14ac:dyDescent="0.35">
      <c r="A14" s="11">
        <v>44592</v>
      </c>
      <c r="B14" s="23">
        <f>Table3[[#This Row],[Date]]</f>
        <v>44592</v>
      </c>
      <c r="C14" s="5">
        <v>13</v>
      </c>
      <c r="D14" s="5" t="s">
        <v>41</v>
      </c>
      <c r="E14" s="5" t="s">
        <v>13</v>
      </c>
      <c r="F14" s="5" t="s">
        <v>10</v>
      </c>
      <c r="G14" s="5" t="s">
        <v>42</v>
      </c>
      <c r="H14" s="5">
        <v>0</v>
      </c>
      <c r="I14" s="5" t="str">
        <f>IF(Table3[[#This Row],[Quantity]]=0, "Invalid Qty", "Valid")</f>
        <v>Invalid Qty</v>
      </c>
      <c r="J14" s="6"/>
      <c r="K14" s="12">
        <f>Table3[[#This Row],[Price Per Unit]]*Table3[[#This Row],[Quantity]]</f>
        <v>0</v>
      </c>
    </row>
    <row r="15" spans="1:11" x14ac:dyDescent="0.35">
      <c r="A15" s="11">
        <v>44620</v>
      </c>
      <c r="B15" s="23">
        <f>Table3[[#This Row],[Date]]</f>
        <v>44620</v>
      </c>
      <c r="C15" s="5">
        <v>14</v>
      </c>
      <c r="D15" s="5" t="s">
        <v>43</v>
      </c>
      <c r="E15" s="5" t="s">
        <v>80</v>
      </c>
      <c r="F15" s="5" t="s">
        <v>14</v>
      </c>
      <c r="G15" s="5" t="s">
        <v>44</v>
      </c>
      <c r="H15" s="5">
        <v>30</v>
      </c>
      <c r="I15" s="5" t="str">
        <f>IF(Table3[[#This Row],[Quantity]]=0, "Invalid Qty", "Valid")</f>
        <v>Valid</v>
      </c>
      <c r="J15" s="6">
        <v>36.67</v>
      </c>
      <c r="K15" s="12">
        <f>Table3[[#This Row],[Price Per Unit]]*Table3[[#This Row],[Quantity]]</f>
        <v>1100.1000000000001</v>
      </c>
    </row>
    <row r="16" spans="1:11" x14ac:dyDescent="0.35">
      <c r="A16" s="11">
        <v>44651</v>
      </c>
      <c r="B16" s="23">
        <f>Table3[[#This Row],[Date]]</f>
        <v>44651</v>
      </c>
      <c r="C16" s="5">
        <v>15</v>
      </c>
      <c r="D16" s="5" t="s">
        <v>45</v>
      </c>
      <c r="E16" s="5" t="s">
        <v>17</v>
      </c>
      <c r="F16" s="5" t="s">
        <v>18</v>
      </c>
      <c r="G16" s="5" t="s">
        <v>46</v>
      </c>
      <c r="H16" s="5">
        <v>35</v>
      </c>
      <c r="I16" s="5" t="str">
        <f>IF(Table3[[#This Row],[Quantity]]=0, "Invalid Qty", "Valid")</f>
        <v>Valid</v>
      </c>
      <c r="J16" s="6">
        <v>34.29</v>
      </c>
      <c r="K16" s="12">
        <f>Table3[[#This Row],[Price Per Unit]]*Table3[[#This Row],[Quantity]]</f>
        <v>1200.1499999999999</v>
      </c>
    </row>
    <row r="17" spans="1:11" x14ac:dyDescent="0.35">
      <c r="A17" s="11">
        <v>44681</v>
      </c>
      <c r="B17" s="23">
        <f>Table3[[#This Row],[Date]]</f>
        <v>44681</v>
      </c>
      <c r="C17" s="5">
        <v>16</v>
      </c>
      <c r="D17" s="5" t="s">
        <v>47</v>
      </c>
      <c r="E17" s="5" t="s">
        <v>80</v>
      </c>
      <c r="F17" s="5" t="s">
        <v>23</v>
      </c>
      <c r="G17" s="5" t="s">
        <v>48</v>
      </c>
      <c r="H17" s="5">
        <v>0</v>
      </c>
      <c r="I17" s="5" t="str">
        <f>IF(Table3[[#This Row],[Quantity]]=0, "Invalid Qty", "Valid")</f>
        <v>Invalid Qty</v>
      </c>
      <c r="J17" s="6"/>
      <c r="K17" s="12">
        <f>Table3[[#This Row],[Price Per Unit]]*Table3[[#This Row],[Quantity]]</f>
        <v>0</v>
      </c>
    </row>
    <row r="18" spans="1:11" x14ac:dyDescent="0.35">
      <c r="A18" s="11">
        <v>44712</v>
      </c>
      <c r="B18" s="23">
        <f>Table3[[#This Row],[Date]]</f>
        <v>44712</v>
      </c>
      <c r="C18" s="5">
        <v>17</v>
      </c>
      <c r="D18" s="5" t="s">
        <v>49</v>
      </c>
      <c r="E18" s="5" t="s">
        <v>13</v>
      </c>
      <c r="F18" s="5" t="s">
        <v>10</v>
      </c>
      <c r="G18" s="5" t="s">
        <v>50</v>
      </c>
      <c r="H18" s="5">
        <v>40</v>
      </c>
      <c r="I18" s="5" t="str">
        <f>IF(Table3[[#This Row],[Quantity]]=0, "Invalid Qty", "Valid")</f>
        <v>Valid</v>
      </c>
      <c r="J18" s="6">
        <v>35</v>
      </c>
      <c r="K18" s="12">
        <f>Table3[[#This Row],[Price Per Unit]]*Table3[[#This Row],[Quantity]]</f>
        <v>1400</v>
      </c>
    </row>
    <row r="19" spans="1:11" x14ac:dyDescent="0.35">
      <c r="A19" s="11">
        <v>44742</v>
      </c>
      <c r="B19" s="23">
        <f>Table3[[#This Row],[Date]]</f>
        <v>44742</v>
      </c>
      <c r="C19" s="5">
        <v>18</v>
      </c>
      <c r="D19" s="5" t="s">
        <v>51</v>
      </c>
      <c r="E19" s="5" t="s">
        <v>9</v>
      </c>
      <c r="F19" s="5" t="s">
        <v>14</v>
      </c>
      <c r="G19" s="5" t="s">
        <v>52</v>
      </c>
      <c r="H19" s="5">
        <v>45</v>
      </c>
      <c r="I19" s="5" t="str">
        <f>IF(Table3[[#This Row],[Quantity]]=0, "Invalid Qty", "Valid")</f>
        <v>Valid</v>
      </c>
      <c r="J19" s="6">
        <v>33.33</v>
      </c>
      <c r="K19" s="12">
        <f>Table3[[#This Row],[Price Per Unit]]*Table3[[#This Row],[Quantity]]</f>
        <v>1499.85</v>
      </c>
    </row>
    <row r="20" spans="1:11" x14ac:dyDescent="0.35">
      <c r="A20" s="11">
        <v>44773</v>
      </c>
      <c r="B20" s="23">
        <f>Table3[[#This Row],[Date]]</f>
        <v>44773</v>
      </c>
      <c r="C20" s="5">
        <v>19</v>
      </c>
      <c r="D20" s="5" t="s">
        <v>53</v>
      </c>
      <c r="E20" s="5" t="s">
        <v>17</v>
      </c>
      <c r="F20" s="5" t="s">
        <v>18</v>
      </c>
      <c r="G20" s="5" t="s">
        <v>54</v>
      </c>
      <c r="H20" s="5">
        <v>50</v>
      </c>
      <c r="I20" s="5" t="str">
        <f>IF(Table3[[#This Row],[Quantity]]=0, "Invalid Qty", "Valid")</f>
        <v>Valid</v>
      </c>
      <c r="J20" s="6">
        <v>32</v>
      </c>
      <c r="K20" s="12">
        <f>Table3[[#This Row],[Price Per Unit]]*Table3[[#This Row],[Quantity]]</f>
        <v>1600</v>
      </c>
    </row>
    <row r="21" spans="1:11" x14ac:dyDescent="0.35">
      <c r="A21" s="11">
        <v>44804</v>
      </c>
      <c r="B21" s="23">
        <f>Table3[[#This Row],[Date]]</f>
        <v>44804</v>
      </c>
      <c r="C21" s="5">
        <v>20</v>
      </c>
      <c r="D21" s="5" t="s">
        <v>55</v>
      </c>
      <c r="E21" s="5" t="s">
        <v>22</v>
      </c>
      <c r="F21" s="5" t="s">
        <v>23</v>
      </c>
      <c r="G21" s="5" t="s">
        <v>56</v>
      </c>
      <c r="H21" s="5">
        <v>55</v>
      </c>
      <c r="I21" s="5" t="str">
        <f>IF(Table3[[#This Row],[Quantity]]=0, "Invalid Qty", "Valid")</f>
        <v>Valid</v>
      </c>
      <c r="J21" s="6">
        <v>30.91</v>
      </c>
      <c r="K21" s="12">
        <f>Table3[[#This Row],[Price Per Unit]]*Table3[[#This Row],[Quantity]]</f>
        <v>1700.05</v>
      </c>
    </row>
    <row r="22" spans="1:11" x14ac:dyDescent="0.35">
      <c r="A22" s="11">
        <v>44834</v>
      </c>
      <c r="B22" s="23">
        <f>Table3[[#This Row],[Date]]</f>
        <v>44834</v>
      </c>
      <c r="C22" s="5">
        <v>21</v>
      </c>
      <c r="D22" s="5" t="s">
        <v>57</v>
      </c>
      <c r="E22" s="5" t="s">
        <v>13</v>
      </c>
      <c r="F22" s="5" t="s">
        <v>10</v>
      </c>
      <c r="G22" s="5" t="s">
        <v>58</v>
      </c>
      <c r="H22" s="5">
        <v>60</v>
      </c>
      <c r="I22" s="5" t="str">
        <f>IF(Table3[[#This Row],[Quantity]]=0, "Invalid Qty", "Valid")</f>
        <v>Valid</v>
      </c>
      <c r="J22" s="6">
        <v>30</v>
      </c>
      <c r="K22" s="12">
        <f>Table3[[#This Row],[Price Per Unit]]*Table3[[#This Row],[Quantity]]</f>
        <v>1800</v>
      </c>
    </row>
    <row r="23" spans="1:11" x14ac:dyDescent="0.35">
      <c r="A23" s="11">
        <v>44865</v>
      </c>
      <c r="B23" s="23">
        <f>Table3[[#This Row],[Date]]</f>
        <v>44865</v>
      </c>
      <c r="C23" s="5">
        <v>22</v>
      </c>
      <c r="D23" s="5" t="s">
        <v>59</v>
      </c>
      <c r="E23" s="5" t="s">
        <v>9</v>
      </c>
      <c r="F23" s="5" t="s">
        <v>14</v>
      </c>
      <c r="G23" s="5" t="s">
        <v>60</v>
      </c>
      <c r="H23" s="5">
        <v>0</v>
      </c>
      <c r="I23" s="5" t="str">
        <f>IF(Table3[[#This Row],[Quantity]]=0, "Invalid Qty", "Valid")</f>
        <v>Invalid Qty</v>
      </c>
      <c r="J23" s="6"/>
      <c r="K23" s="12">
        <f>Table3[[#This Row],[Price Per Unit]]*Table3[[#This Row],[Quantity]]</f>
        <v>0</v>
      </c>
    </row>
    <row r="24" spans="1:11" x14ac:dyDescent="0.35">
      <c r="A24" s="11">
        <v>44895</v>
      </c>
      <c r="B24" s="23">
        <f>Table3[[#This Row],[Date]]</f>
        <v>44895</v>
      </c>
      <c r="C24" s="5">
        <v>23</v>
      </c>
      <c r="D24" s="5" t="s">
        <v>61</v>
      </c>
      <c r="E24" s="5" t="s">
        <v>17</v>
      </c>
      <c r="F24" s="5" t="s">
        <v>18</v>
      </c>
      <c r="G24" s="5" t="s">
        <v>62</v>
      </c>
      <c r="H24" s="5">
        <v>65</v>
      </c>
      <c r="I24" s="5" t="str">
        <f>IF(Table3[[#This Row],[Quantity]]=0, "Invalid Qty", "Valid")</f>
        <v>Valid</v>
      </c>
      <c r="J24" s="6">
        <v>30.77</v>
      </c>
      <c r="K24" s="12">
        <f>Table3[[#This Row],[Price Per Unit]]*Table3[[#This Row],[Quantity]]</f>
        <v>2000.05</v>
      </c>
    </row>
    <row r="25" spans="1:11" x14ac:dyDescent="0.35">
      <c r="A25" s="11">
        <v>44926</v>
      </c>
      <c r="B25" s="23">
        <f>Table3[[#This Row],[Date]]</f>
        <v>44926</v>
      </c>
      <c r="C25" s="5">
        <v>24</v>
      </c>
      <c r="D25" s="5" t="s">
        <v>63</v>
      </c>
      <c r="E25" s="5" t="s">
        <v>22</v>
      </c>
      <c r="F25" s="5" t="s">
        <v>23</v>
      </c>
      <c r="G25" s="5" t="s">
        <v>64</v>
      </c>
      <c r="H25" s="5">
        <v>70</v>
      </c>
      <c r="I25" s="5" t="str">
        <f>IF(Table3[[#This Row],[Quantity]]=0, "Invalid Qty", "Valid")</f>
        <v>Valid</v>
      </c>
      <c r="J25" s="6">
        <v>30</v>
      </c>
      <c r="K25" s="12">
        <f>Table3[[#This Row],[Price Per Unit]]*Table3[[#This Row],[Quantity]]</f>
        <v>2100</v>
      </c>
    </row>
    <row r="26" spans="1:11" x14ac:dyDescent="0.35">
      <c r="A26" s="11">
        <v>44957</v>
      </c>
      <c r="B26" s="23">
        <f>Table3[[#This Row],[Date]]</f>
        <v>44957</v>
      </c>
      <c r="C26" s="5">
        <v>25</v>
      </c>
      <c r="D26" s="5" t="s">
        <v>65</v>
      </c>
      <c r="E26" s="5" t="s">
        <v>66</v>
      </c>
      <c r="F26" s="5" t="s">
        <v>67</v>
      </c>
      <c r="G26" s="5" t="s">
        <v>68</v>
      </c>
      <c r="H26" s="5">
        <v>75</v>
      </c>
      <c r="I26" s="5" t="str">
        <f>IF(Table3[[#This Row],[Quantity]]=0, "Invalid Qty", "Valid")</f>
        <v>Valid</v>
      </c>
      <c r="J26" s="6">
        <v>29.33</v>
      </c>
      <c r="K26" s="12">
        <f>Table3[[#This Row],[Price Per Unit]]*Table3[[#This Row],[Quantity]]</f>
        <v>2199.75</v>
      </c>
    </row>
    <row r="27" spans="1:11" x14ac:dyDescent="0.35">
      <c r="A27" s="11">
        <v>44985</v>
      </c>
      <c r="B27" s="23">
        <f>Table3[[#This Row],[Date]]</f>
        <v>44985</v>
      </c>
      <c r="C27" s="5">
        <v>26</v>
      </c>
      <c r="D27" s="5" t="s">
        <v>69</v>
      </c>
      <c r="E27" s="5" t="s">
        <v>66</v>
      </c>
      <c r="F27" s="5" t="s">
        <v>70</v>
      </c>
      <c r="G27" s="5" t="s">
        <v>71</v>
      </c>
      <c r="H27" s="5">
        <v>80</v>
      </c>
      <c r="I27" s="5" t="str">
        <f>IF(Table3[[#This Row],[Quantity]]=0, "Invalid Qty", "Valid")</f>
        <v>Valid</v>
      </c>
      <c r="J27" s="6">
        <v>28.75</v>
      </c>
      <c r="K27" s="12">
        <f>Table3[[#This Row],[Price Per Unit]]*Table3[[#This Row],[Quantity]]</f>
        <v>2300</v>
      </c>
    </row>
    <row r="28" spans="1:11" x14ac:dyDescent="0.35">
      <c r="A28" s="11">
        <v>45016</v>
      </c>
      <c r="B28" s="23">
        <f>Table3[[#This Row],[Date]]</f>
        <v>45016</v>
      </c>
      <c r="C28" s="5">
        <v>27</v>
      </c>
      <c r="D28" s="5" t="s">
        <v>41</v>
      </c>
      <c r="E28" s="5" t="s">
        <v>13</v>
      </c>
      <c r="F28" s="5" t="s">
        <v>72</v>
      </c>
      <c r="G28" s="5" t="s">
        <v>73</v>
      </c>
      <c r="H28" s="5">
        <v>0</v>
      </c>
      <c r="I28" s="5" t="str">
        <f>IF(Table3[[#This Row],[Quantity]]=0, "Invalid Qty", "Valid")</f>
        <v>Invalid Qty</v>
      </c>
      <c r="J28" s="6"/>
      <c r="K28" s="12">
        <f>Table3[[#This Row],[Price Per Unit]]*Table3[[#This Row],[Quantity]]</f>
        <v>0</v>
      </c>
    </row>
    <row r="29" spans="1:11" ht="15" thickBot="1" x14ac:dyDescent="0.4">
      <c r="A29" s="13">
        <v>45046</v>
      </c>
      <c r="B29" s="24">
        <f>Table3[[#This Row],[Date]]</f>
        <v>45046</v>
      </c>
      <c r="C29" s="14">
        <v>28</v>
      </c>
      <c r="D29" s="14" t="s">
        <v>39</v>
      </c>
      <c r="E29" s="14" t="s">
        <v>22</v>
      </c>
      <c r="F29" s="14" t="s">
        <v>74</v>
      </c>
      <c r="G29" s="14" t="s">
        <v>75</v>
      </c>
      <c r="H29" s="14">
        <v>85</v>
      </c>
      <c r="I29" s="14" t="str">
        <f>IF(Table3[[#This Row],[Quantity]]=0, "Invalid Qty", "Valid")</f>
        <v>Valid</v>
      </c>
      <c r="J29" s="15">
        <v>29.41</v>
      </c>
      <c r="K29" s="16">
        <f>Table3[[#This Row],[Price Per Unit]]*Table3[[#This Row],[Quantity]]</f>
        <v>2499.85</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3497E-C8B3-4931-ADDD-51D69AAB8E80}">
  <dimension ref="A3:H53"/>
  <sheetViews>
    <sheetView topLeftCell="A23" zoomScale="70" zoomScaleNormal="70" workbookViewId="0">
      <selection activeCell="B41" sqref="B41:B53"/>
    </sheetView>
  </sheetViews>
  <sheetFormatPr defaultRowHeight="14.5" x14ac:dyDescent="0.35"/>
  <cols>
    <col min="1" max="1" width="13.08984375" bestFit="1" customWidth="1"/>
    <col min="2" max="2" width="15.6328125" bestFit="1" customWidth="1"/>
    <col min="3" max="3" width="15.26953125" bestFit="1" customWidth="1"/>
    <col min="4" max="5" width="14.54296875" bestFit="1" customWidth="1"/>
    <col min="7" max="7" width="21.81640625" bestFit="1" customWidth="1"/>
    <col min="8" max="8" width="15.6328125" bestFit="1" customWidth="1"/>
    <col min="20" max="20" width="12.36328125" bestFit="1" customWidth="1"/>
    <col min="21" max="21" width="13.90625" bestFit="1" customWidth="1"/>
    <col min="22" max="22" width="7.81640625" bestFit="1" customWidth="1"/>
    <col min="23" max="23" width="5.36328125" bestFit="1" customWidth="1"/>
    <col min="24" max="24" width="6.453125" bestFit="1" customWidth="1"/>
    <col min="25" max="25" width="7.81640625" bestFit="1" customWidth="1"/>
    <col min="26" max="26" width="4.81640625" bestFit="1" customWidth="1"/>
    <col min="27" max="27" width="3.7265625" bestFit="1" customWidth="1"/>
    <col min="28" max="28" width="7.1796875" bestFit="1" customWidth="1"/>
    <col min="29" max="29" width="10.7265625" bestFit="1" customWidth="1"/>
  </cols>
  <sheetData>
    <row r="3" spans="1:8" x14ac:dyDescent="0.35">
      <c r="A3" s="25" t="s">
        <v>84</v>
      </c>
      <c r="B3" s="26" t="s">
        <v>83</v>
      </c>
      <c r="D3" s="25" t="s">
        <v>84</v>
      </c>
      <c r="E3" s="26" t="s">
        <v>86</v>
      </c>
      <c r="G3" s="25" t="s">
        <v>84</v>
      </c>
      <c r="H3" s="26" t="s">
        <v>83</v>
      </c>
    </row>
    <row r="4" spans="1:8" x14ac:dyDescent="0.35">
      <c r="A4" s="27" t="s">
        <v>66</v>
      </c>
      <c r="B4" s="28">
        <v>4499.75</v>
      </c>
      <c r="D4" s="27" t="s">
        <v>48</v>
      </c>
      <c r="E4" s="29">
        <v>0</v>
      </c>
      <c r="G4" s="27" t="s">
        <v>48</v>
      </c>
      <c r="H4" s="28">
        <v>0</v>
      </c>
    </row>
    <row r="5" spans="1:8" x14ac:dyDescent="0.35">
      <c r="A5" s="27" t="s">
        <v>13</v>
      </c>
      <c r="B5" s="28">
        <v>4400</v>
      </c>
      <c r="D5" s="27" t="s">
        <v>54</v>
      </c>
      <c r="E5" s="29">
        <v>50</v>
      </c>
      <c r="G5" s="27" t="s">
        <v>54</v>
      </c>
      <c r="H5" s="28">
        <v>1600</v>
      </c>
    </row>
    <row r="6" spans="1:8" x14ac:dyDescent="0.35">
      <c r="A6" s="27" t="s">
        <v>9</v>
      </c>
      <c r="B6" s="28">
        <v>2399.85</v>
      </c>
      <c r="D6" s="27" t="s">
        <v>52</v>
      </c>
      <c r="E6" s="29">
        <v>45</v>
      </c>
      <c r="G6" s="27" t="s">
        <v>52</v>
      </c>
      <c r="H6" s="28">
        <v>1499.85</v>
      </c>
    </row>
    <row r="7" spans="1:8" x14ac:dyDescent="0.35">
      <c r="A7" s="27" t="s">
        <v>22</v>
      </c>
      <c r="B7" s="28">
        <v>8049.9</v>
      </c>
      <c r="D7" s="27" t="s">
        <v>26</v>
      </c>
      <c r="E7" s="29">
        <v>30</v>
      </c>
      <c r="G7" s="27" t="s">
        <v>26</v>
      </c>
      <c r="H7" s="28">
        <v>500.1</v>
      </c>
    </row>
    <row r="8" spans="1:8" x14ac:dyDescent="0.35">
      <c r="A8" s="27" t="s">
        <v>80</v>
      </c>
      <c r="B8" s="28">
        <v>1100.1000000000001</v>
      </c>
      <c r="D8" s="27" t="s">
        <v>32</v>
      </c>
      <c r="E8" s="29">
        <v>40</v>
      </c>
      <c r="G8" s="27" t="s">
        <v>32</v>
      </c>
      <c r="H8" s="28">
        <v>600</v>
      </c>
    </row>
    <row r="9" spans="1:8" x14ac:dyDescent="0.35">
      <c r="A9" s="27" t="s">
        <v>17</v>
      </c>
      <c r="B9" s="28">
        <v>5950.2</v>
      </c>
      <c r="D9" s="27" t="s">
        <v>42</v>
      </c>
      <c r="E9" s="29">
        <v>0</v>
      </c>
      <c r="G9" s="27" t="s">
        <v>42</v>
      </c>
      <c r="H9" s="28">
        <v>0</v>
      </c>
    </row>
    <row r="10" spans="1:8" x14ac:dyDescent="0.35">
      <c r="A10" s="27" t="s">
        <v>85</v>
      </c>
      <c r="B10" s="28">
        <v>26399.8</v>
      </c>
      <c r="D10" s="27" t="s">
        <v>19</v>
      </c>
      <c r="E10" s="29">
        <v>0</v>
      </c>
      <c r="G10" s="27" t="s">
        <v>19</v>
      </c>
      <c r="H10" s="28">
        <v>0</v>
      </c>
    </row>
    <row r="11" spans="1:8" x14ac:dyDescent="0.35">
      <c r="D11" s="27" t="s">
        <v>40</v>
      </c>
      <c r="E11" s="29">
        <v>20</v>
      </c>
      <c r="G11" s="27" t="s">
        <v>40</v>
      </c>
      <c r="H11" s="28">
        <v>900</v>
      </c>
    </row>
    <row r="12" spans="1:8" x14ac:dyDescent="0.35">
      <c r="A12" s="25" t="s">
        <v>84</v>
      </c>
      <c r="B12" s="26" t="s">
        <v>87</v>
      </c>
      <c r="D12" s="27" t="s">
        <v>58</v>
      </c>
      <c r="E12" s="29">
        <v>60</v>
      </c>
      <c r="G12" s="27" t="s">
        <v>58</v>
      </c>
      <c r="H12" s="28">
        <v>1800</v>
      </c>
    </row>
    <row r="13" spans="1:8" x14ac:dyDescent="0.35">
      <c r="A13" s="27" t="s">
        <v>23</v>
      </c>
      <c r="B13" s="29">
        <v>6</v>
      </c>
      <c r="D13" s="27" t="s">
        <v>60</v>
      </c>
      <c r="E13" s="29">
        <v>0</v>
      </c>
      <c r="G13" s="27" t="s">
        <v>60</v>
      </c>
      <c r="H13" s="28">
        <v>0</v>
      </c>
    </row>
    <row r="14" spans="1:8" x14ac:dyDescent="0.35">
      <c r="A14" s="27" t="s">
        <v>14</v>
      </c>
      <c r="B14" s="29">
        <v>6</v>
      </c>
      <c r="D14" s="27" t="s">
        <v>46</v>
      </c>
      <c r="E14" s="29">
        <v>35</v>
      </c>
      <c r="G14" s="27" t="s">
        <v>46</v>
      </c>
      <c r="H14" s="28">
        <v>1200.1499999999999</v>
      </c>
    </row>
    <row r="15" spans="1:8" x14ac:dyDescent="0.35">
      <c r="A15" s="27" t="s">
        <v>10</v>
      </c>
      <c r="B15" s="29">
        <v>6</v>
      </c>
      <c r="D15" s="27" t="s">
        <v>24</v>
      </c>
      <c r="E15" s="29">
        <v>25</v>
      </c>
      <c r="G15" s="27" t="s">
        <v>24</v>
      </c>
      <c r="H15" s="28">
        <v>250</v>
      </c>
    </row>
    <row r="16" spans="1:8" x14ac:dyDescent="0.35">
      <c r="A16" s="27" t="s">
        <v>74</v>
      </c>
      <c r="B16" s="29">
        <v>1</v>
      </c>
      <c r="D16" s="27" t="s">
        <v>44</v>
      </c>
      <c r="E16" s="29">
        <v>30</v>
      </c>
      <c r="G16" s="27" t="s">
        <v>44</v>
      </c>
      <c r="H16" s="28">
        <v>1100.1000000000001</v>
      </c>
    </row>
    <row r="17" spans="1:8" x14ac:dyDescent="0.35">
      <c r="A17" s="27" t="s">
        <v>67</v>
      </c>
      <c r="B17" s="29">
        <v>1</v>
      </c>
      <c r="D17" s="27" t="s">
        <v>34</v>
      </c>
      <c r="E17" s="29">
        <v>45</v>
      </c>
      <c r="G17" s="27" t="s">
        <v>34</v>
      </c>
      <c r="H17" s="28">
        <v>549.9</v>
      </c>
    </row>
    <row r="18" spans="1:8" x14ac:dyDescent="0.35">
      <c r="A18" s="27" t="s">
        <v>18</v>
      </c>
      <c r="B18" s="29">
        <v>6</v>
      </c>
      <c r="D18" s="27" t="s">
        <v>38</v>
      </c>
      <c r="E18" s="29">
        <v>5</v>
      </c>
      <c r="G18" s="27" t="s">
        <v>38</v>
      </c>
      <c r="H18" s="28">
        <v>800</v>
      </c>
    </row>
    <row r="19" spans="1:8" x14ac:dyDescent="0.35">
      <c r="A19" s="27" t="s">
        <v>72</v>
      </c>
      <c r="B19" s="29">
        <v>1</v>
      </c>
      <c r="D19" s="27" t="s">
        <v>36</v>
      </c>
      <c r="E19" s="29">
        <v>50</v>
      </c>
      <c r="G19" s="27" t="s">
        <v>36</v>
      </c>
      <c r="H19" s="28">
        <v>700</v>
      </c>
    </row>
    <row r="20" spans="1:8" x14ac:dyDescent="0.35">
      <c r="A20" s="27" t="s">
        <v>70</v>
      </c>
      <c r="B20" s="29">
        <v>1</v>
      </c>
      <c r="D20" s="27" t="s">
        <v>75</v>
      </c>
      <c r="E20" s="29">
        <v>85</v>
      </c>
      <c r="G20" s="27" t="s">
        <v>75</v>
      </c>
      <c r="H20" s="28">
        <v>2499.85</v>
      </c>
    </row>
    <row r="21" spans="1:8" x14ac:dyDescent="0.35">
      <c r="A21" s="27" t="s">
        <v>85</v>
      </c>
      <c r="B21" s="29">
        <v>28</v>
      </c>
      <c r="D21" s="27" t="s">
        <v>11</v>
      </c>
      <c r="E21" s="29">
        <v>10</v>
      </c>
      <c r="G21" s="27" t="s">
        <v>11</v>
      </c>
      <c r="H21" s="28">
        <v>200</v>
      </c>
    </row>
    <row r="22" spans="1:8" x14ac:dyDescent="0.35">
      <c r="D22" s="27" t="s">
        <v>71</v>
      </c>
      <c r="E22" s="29">
        <v>80</v>
      </c>
      <c r="G22" s="27" t="s">
        <v>71</v>
      </c>
      <c r="H22" s="28">
        <v>2300</v>
      </c>
    </row>
    <row r="23" spans="1:8" x14ac:dyDescent="0.35">
      <c r="A23" s="25" t="s">
        <v>84</v>
      </c>
      <c r="B23" s="26" t="s">
        <v>83</v>
      </c>
      <c r="D23" s="27" t="s">
        <v>62</v>
      </c>
      <c r="E23" s="29">
        <v>65</v>
      </c>
      <c r="G23" s="27" t="s">
        <v>62</v>
      </c>
      <c r="H23" s="28">
        <v>2000.05</v>
      </c>
    </row>
    <row r="24" spans="1:8" x14ac:dyDescent="0.35">
      <c r="A24" s="27" t="s">
        <v>23</v>
      </c>
      <c r="B24" s="28">
        <v>5550.05</v>
      </c>
      <c r="D24" s="27" t="s">
        <v>64</v>
      </c>
      <c r="E24" s="29">
        <v>70</v>
      </c>
      <c r="G24" s="27" t="s">
        <v>64</v>
      </c>
      <c r="H24" s="28">
        <v>2100</v>
      </c>
    </row>
    <row r="25" spans="1:8" x14ac:dyDescent="0.35">
      <c r="A25" s="27" t="s">
        <v>14</v>
      </c>
      <c r="B25" s="28">
        <v>3449.95</v>
      </c>
      <c r="D25" s="27" t="s">
        <v>30</v>
      </c>
      <c r="E25" s="29">
        <v>35</v>
      </c>
      <c r="G25" s="27" t="s">
        <v>30</v>
      </c>
      <c r="H25" s="28">
        <v>350</v>
      </c>
    </row>
    <row r="26" spans="1:8" x14ac:dyDescent="0.35">
      <c r="A26" s="27" t="s">
        <v>10</v>
      </c>
      <c r="B26" s="28">
        <v>4450</v>
      </c>
      <c r="D26" s="27" t="s">
        <v>73</v>
      </c>
      <c r="E26" s="29">
        <v>0</v>
      </c>
      <c r="G26" s="27" t="s">
        <v>73</v>
      </c>
      <c r="H26" s="28">
        <v>0</v>
      </c>
    </row>
    <row r="27" spans="1:8" x14ac:dyDescent="0.35">
      <c r="A27" s="27" t="s">
        <v>74</v>
      </c>
      <c r="B27" s="28">
        <v>2499.85</v>
      </c>
      <c r="D27" s="27" t="s">
        <v>68</v>
      </c>
      <c r="E27" s="29">
        <v>75</v>
      </c>
      <c r="G27" s="27" t="s">
        <v>68</v>
      </c>
      <c r="H27" s="28">
        <v>2199.75</v>
      </c>
    </row>
    <row r="28" spans="1:8" x14ac:dyDescent="0.35">
      <c r="A28" s="27" t="s">
        <v>67</v>
      </c>
      <c r="B28" s="28">
        <v>2199.75</v>
      </c>
      <c r="D28" s="27" t="s">
        <v>15</v>
      </c>
      <c r="E28" s="29">
        <v>15</v>
      </c>
      <c r="G28" s="27" t="s">
        <v>15</v>
      </c>
      <c r="H28" s="28">
        <v>150</v>
      </c>
    </row>
    <row r="29" spans="1:8" x14ac:dyDescent="0.35">
      <c r="A29" s="27" t="s">
        <v>18</v>
      </c>
      <c r="B29" s="28">
        <v>5950.2</v>
      </c>
      <c r="D29" s="27" t="s">
        <v>50</v>
      </c>
      <c r="E29" s="29">
        <v>40</v>
      </c>
      <c r="G29" s="27" t="s">
        <v>50</v>
      </c>
      <c r="H29" s="28">
        <v>1400</v>
      </c>
    </row>
    <row r="30" spans="1:8" x14ac:dyDescent="0.35">
      <c r="A30" s="27" t="s">
        <v>72</v>
      </c>
      <c r="B30" s="28">
        <v>0</v>
      </c>
      <c r="D30" s="27" t="s">
        <v>56</v>
      </c>
      <c r="E30" s="29">
        <v>55</v>
      </c>
      <c r="G30" s="27" t="s">
        <v>56</v>
      </c>
      <c r="H30" s="28">
        <v>1700.05</v>
      </c>
    </row>
    <row r="31" spans="1:8" x14ac:dyDescent="0.35">
      <c r="A31" s="27" t="s">
        <v>70</v>
      </c>
      <c r="B31" s="28">
        <v>2300</v>
      </c>
      <c r="D31" s="27" t="s">
        <v>28</v>
      </c>
      <c r="E31" s="29">
        <v>0</v>
      </c>
      <c r="G31" s="27" t="s">
        <v>28</v>
      </c>
      <c r="H31" s="28">
        <v>0</v>
      </c>
    </row>
    <row r="32" spans="1:8" x14ac:dyDescent="0.35">
      <c r="A32" s="27" t="s">
        <v>85</v>
      </c>
      <c r="B32" s="28">
        <v>26399.8</v>
      </c>
      <c r="D32" s="27" t="s">
        <v>85</v>
      </c>
      <c r="E32" s="29">
        <v>965</v>
      </c>
      <c r="G32" s="27" t="s">
        <v>85</v>
      </c>
      <c r="H32" s="28">
        <v>26399.799999999996</v>
      </c>
    </row>
    <row r="34" spans="1:8" x14ac:dyDescent="0.35">
      <c r="A34" s="26" t="s">
        <v>83</v>
      </c>
      <c r="D34" s="26" t="s">
        <v>86</v>
      </c>
    </row>
    <row r="35" spans="1:8" x14ac:dyDescent="0.35">
      <c r="A35" s="28">
        <v>26399.8</v>
      </c>
      <c r="D35" s="29">
        <v>965</v>
      </c>
      <c r="H35" s="17"/>
    </row>
    <row r="37" spans="1:8" x14ac:dyDescent="0.35">
      <c r="A37" s="30">
        <f>GETPIVOTDATA("Total Cost",$A$34)</f>
        <v>26399.8</v>
      </c>
      <c r="B37" s="31" t="s">
        <v>90</v>
      </c>
      <c r="D37" s="26">
        <f>GETPIVOTDATA("Quantity",$D$34)</f>
        <v>965</v>
      </c>
      <c r="E37" s="31" t="s">
        <v>91</v>
      </c>
    </row>
    <row r="40" spans="1:8" x14ac:dyDescent="0.35">
      <c r="A40" s="25" t="s">
        <v>84</v>
      </c>
      <c r="B40" s="26" t="s">
        <v>83</v>
      </c>
    </row>
    <row r="41" spans="1:8" x14ac:dyDescent="0.35">
      <c r="A41" s="32" t="s">
        <v>92</v>
      </c>
      <c r="B41" s="28">
        <v>2399.75</v>
      </c>
    </row>
    <row r="42" spans="1:8" x14ac:dyDescent="0.35">
      <c r="A42" s="32" t="s">
        <v>93</v>
      </c>
      <c r="B42" s="28">
        <v>3550.1000000000004</v>
      </c>
    </row>
    <row r="43" spans="1:8" x14ac:dyDescent="0.35">
      <c r="A43" s="32" t="s">
        <v>94</v>
      </c>
      <c r="B43" s="28">
        <v>1200.1499999999999</v>
      </c>
    </row>
    <row r="44" spans="1:8" x14ac:dyDescent="0.35">
      <c r="A44" s="32" t="s">
        <v>95</v>
      </c>
      <c r="B44" s="28">
        <v>2749.85</v>
      </c>
    </row>
    <row r="45" spans="1:8" x14ac:dyDescent="0.35">
      <c r="A45" s="32" t="s">
        <v>96</v>
      </c>
      <c r="B45" s="28">
        <v>1900.1</v>
      </c>
    </row>
    <row r="46" spans="1:8" x14ac:dyDescent="0.35">
      <c r="A46" s="32" t="s">
        <v>97</v>
      </c>
      <c r="B46" s="28">
        <v>1499.85</v>
      </c>
    </row>
    <row r="47" spans="1:8" x14ac:dyDescent="0.35">
      <c r="A47" s="32" t="s">
        <v>98</v>
      </c>
      <c r="B47" s="28">
        <v>1950</v>
      </c>
    </row>
    <row r="48" spans="1:8" x14ac:dyDescent="0.35">
      <c r="A48" s="32" t="s">
        <v>99</v>
      </c>
      <c r="B48" s="28">
        <v>2300.0500000000002</v>
      </c>
    </row>
    <row r="49" spans="1:2" x14ac:dyDescent="0.35">
      <c r="A49" s="32" t="s">
        <v>100</v>
      </c>
      <c r="B49" s="28">
        <v>2349.9</v>
      </c>
    </row>
    <row r="50" spans="1:2" x14ac:dyDescent="0.35">
      <c r="A50" s="32" t="s">
        <v>101</v>
      </c>
      <c r="B50" s="28">
        <v>700</v>
      </c>
    </row>
    <row r="51" spans="1:2" x14ac:dyDescent="0.35">
      <c r="A51" s="32" t="s">
        <v>102</v>
      </c>
      <c r="B51" s="28">
        <v>2800.05</v>
      </c>
    </row>
    <row r="52" spans="1:2" x14ac:dyDescent="0.35">
      <c r="A52" s="32" t="s">
        <v>103</v>
      </c>
      <c r="B52" s="28">
        <v>3000</v>
      </c>
    </row>
    <row r="53" spans="1:2" x14ac:dyDescent="0.35">
      <c r="A53" s="32" t="s">
        <v>85</v>
      </c>
      <c r="B53" s="28">
        <v>26399.800000000003</v>
      </c>
    </row>
  </sheetData>
  <pageMargins left="0.7" right="0.7" top="0.75" bottom="0.75" header="0.3" footer="0.3"/>
  <pageSetup orientation="portrait" r:id="rId9"/>
  <drawing r:id="rId10"/>
  <extLst>
    <ext xmlns:x14="http://schemas.microsoft.com/office/spreadsheetml/2009/9/main" uri="{A8765BA9-456A-4dab-B4F3-ACF838C121DE}">
      <x14:slicerList>
        <x14:slicer r:id="rId11"/>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80A0DC-E1FB-4C48-9EBA-8F65091AC637}">
  <dimension ref="A1:AT46"/>
  <sheetViews>
    <sheetView showGridLines="0" tabSelected="1" zoomScale="70" zoomScaleNormal="70" workbookViewId="0"/>
  </sheetViews>
  <sheetFormatPr defaultRowHeight="14.5" x14ac:dyDescent="0.35"/>
  <cols>
    <col min="7" max="7" width="8.7265625" customWidth="1"/>
    <col min="26" max="26" width="7.1796875" customWidth="1"/>
  </cols>
  <sheetData>
    <row r="1" spans="1:46" ht="26" x14ac:dyDescent="0.6">
      <c r="A1" s="20" t="s">
        <v>88</v>
      </c>
      <c r="B1" s="19"/>
      <c r="C1" s="19"/>
      <c r="D1" s="19"/>
      <c r="E1" s="19"/>
      <c r="F1" s="19"/>
      <c r="G1" s="19"/>
      <c r="H1" s="19"/>
      <c r="I1" s="19"/>
      <c r="J1" s="19"/>
      <c r="K1" s="19"/>
      <c r="L1" s="19"/>
      <c r="M1" s="19"/>
      <c r="N1" s="19"/>
      <c r="O1" s="19"/>
      <c r="P1" s="19"/>
      <c r="Q1" s="19"/>
      <c r="R1" s="19"/>
      <c r="S1" s="19"/>
      <c r="T1" s="19"/>
      <c r="U1" s="19"/>
      <c r="V1" s="19"/>
      <c r="W1" s="19"/>
      <c r="X1" s="19"/>
      <c r="Y1" s="19"/>
      <c r="Z1" s="19"/>
      <c r="AA1" s="19"/>
      <c r="AB1" s="19"/>
    </row>
    <row r="2" spans="1:46" ht="26" x14ac:dyDescent="0.6">
      <c r="A2" s="20"/>
      <c r="B2" s="20"/>
      <c r="C2" s="19"/>
      <c r="D2" s="19"/>
      <c r="E2" s="19"/>
      <c r="F2" s="19"/>
      <c r="G2" s="19"/>
      <c r="H2" s="19"/>
      <c r="I2" s="19"/>
      <c r="J2" s="19"/>
      <c r="K2" s="19"/>
      <c r="L2" s="19"/>
      <c r="M2" s="19"/>
      <c r="N2" s="19"/>
      <c r="O2" s="19"/>
      <c r="P2" s="19"/>
      <c r="Q2" s="19"/>
      <c r="R2" s="19"/>
      <c r="S2" s="19"/>
      <c r="T2" s="19"/>
      <c r="U2" s="19"/>
      <c r="V2" s="19"/>
      <c r="W2" s="19"/>
      <c r="X2" s="19"/>
      <c r="Y2" s="19"/>
      <c r="Z2" s="19"/>
      <c r="AA2" s="19"/>
      <c r="AB2" s="19"/>
      <c r="AC2" s="19"/>
      <c r="AD2" s="19"/>
    </row>
    <row r="3" spans="1:46" x14ac:dyDescent="0.35">
      <c r="A3" s="18"/>
      <c r="B3" s="18"/>
      <c r="C3" s="18"/>
      <c r="D3" s="18"/>
      <c r="E3" s="18"/>
      <c r="F3" s="18"/>
      <c r="G3" s="18"/>
      <c r="H3" s="18"/>
      <c r="I3" s="18"/>
      <c r="J3" s="18"/>
      <c r="K3" s="18"/>
      <c r="L3" s="18"/>
      <c r="M3" s="18"/>
      <c r="N3" s="18"/>
      <c r="O3" s="18"/>
      <c r="P3" s="18"/>
      <c r="Q3" s="18"/>
      <c r="R3" s="18"/>
      <c r="S3" s="18"/>
      <c r="T3" s="18"/>
      <c r="U3" s="18"/>
      <c r="V3" s="18"/>
      <c r="W3" s="18"/>
      <c r="X3" s="18"/>
      <c r="Y3" s="18"/>
      <c r="Z3" s="18"/>
      <c r="AA3" s="18"/>
      <c r="AB3" s="18"/>
      <c r="AC3" s="18"/>
      <c r="AD3" s="18"/>
      <c r="AE3" s="21"/>
      <c r="AF3" s="21"/>
      <c r="AG3" s="21"/>
      <c r="AH3" s="18"/>
      <c r="AI3" s="18"/>
      <c r="AJ3" s="18"/>
      <c r="AK3" s="18"/>
      <c r="AL3" s="18"/>
      <c r="AM3" s="18"/>
      <c r="AN3" s="18"/>
      <c r="AO3" s="18"/>
      <c r="AP3" s="18"/>
      <c r="AQ3" s="18"/>
      <c r="AR3" s="18"/>
      <c r="AS3" s="18"/>
      <c r="AT3" s="18"/>
    </row>
    <row r="4" spans="1:46" x14ac:dyDescent="0.35">
      <c r="A4" s="18"/>
      <c r="B4" s="18"/>
      <c r="C4" s="18"/>
      <c r="D4" s="18"/>
      <c r="E4" s="18"/>
      <c r="F4" s="18"/>
      <c r="G4" s="18"/>
      <c r="H4" s="18"/>
      <c r="I4" s="18"/>
      <c r="J4" s="18"/>
      <c r="K4" s="18"/>
      <c r="L4" s="18"/>
      <c r="M4" s="18"/>
      <c r="N4" s="18"/>
      <c r="O4" s="18"/>
      <c r="P4" s="18"/>
      <c r="Q4" s="18"/>
      <c r="R4" s="18"/>
      <c r="S4" s="18"/>
      <c r="T4" s="18"/>
      <c r="U4" s="18"/>
      <c r="V4" s="18"/>
      <c r="W4" s="18"/>
      <c r="X4" s="18"/>
      <c r="Y4" s="18"/>
      <c r="Z4" s="18"/>
      <c r="AA4" s="18"/>
      <c r="AB4" s="18"/>
      <c r="AC4" s="18"/>
      <c r="AD4" s="18"/>
      <c r="AE4" s="21"/>
      <c r="AF4" s="21"/>
      <c r="AG4" s="21"/>
      <c r="AH4" s="18"/>
      <c r="AI4" s="18"/>
      <c r="AJ4" s="18"/>
      <c r="AK4" s="18"/>
      <c r="AL4" s="18"/>
      <c r="AM4" s="18"/>
      <c r="AN4" s="18"/>
      <c r="AO4" s="18"/>
      <c r="AP4" s="18"/>
      <c r="AQ4" s="18"/>
      <c r="AR4" s="18"/>
      <c r="AS4" s="18"/>
      <c r="AT4" s="18"/>
    </row>
    <row r="5" spans="1:46" x14ac:dyDescent="0.35">
      <c r="A5" s="18"/>
      <c r="B5" s="18"/>
      <c r="C5" s="18"/>
      <c r="D5" s="18"/>
      <c r="E5" s="18"/>
      <c r="F5" s="18"/>
      <c r="G5" s="18"/>
      <c r="H5" s="18"/>
      <c r="I5" s="18"/>
      <c r="J5" s="18"/>
      <c r="K5" s="18"/>
      <c r="L5" s="18"/>
      <c r="M5" s="18"/>
      <c r="N5" s="18"/>
      <c r="O5" s="18"/>
      <c r="P5" s="18"/>
      <c r="Q5" s="18"/>
      <c r="R5" s="18"/>
      <c r="S5" s="18"/>
      <c r="T5" s="18"/>
      <c r="U5" s="18"/>
      <c r="V5" s="18"/>
      <c r="W5" s="18"/>
      <c r="X5" s="18"/>
      <c r="Y5" s="18"/>
      <c r="Z5" s="18"/>
      <c r="AA5" s="18"/>
      <c r="AB5" s="18"/>
      <c r="AC5" s="18"/>
      <c r="AD5" s="18"/>
      <c r="AE5" s="21"/>
      <c r="AF5" s="21"/>
      <c r="AG5" s="21"/>
      <c r="AH5" s="18"/>
      <c r="AI5" s="18"/>
      <c r="AJ5" s="18"/>
      <c r="AK5" s="18"/>
      <c r="AL5" s="18"/>
      <c r="AM5" s="18"/>
      <c r="AN5" s="18"/>
      <c r="AO5" s="18"/>
      <c r="AP5" s="18"/>
      <c r="AQ5" s="18"/>
      <c r="AR5" s="18"/>
      <c r="AS5" s="18"/>
      <c r="AT5" s="18"/>
    </row>
    <row r="6" spans="1:46" x14ac:dyDescent="0.35">
      <c r="A6" s="18"/>
      <c r="B6" s="18"/>
      <c r="C6" s="18"/>
      <c r="D6" s="18"/>
      <c r="E6" s="18"/>
      <c r="F6" s="18"/>
      <c r="G6" s="18"/>
      <c r="H6" s="18"/>
      <c r="I6" s="18"/>
      <c r="J6" s="18"/>
      <c r="K6" s="18"/>
      <c r="L6" s="18"/>
      <c r="M6" s="18"/>
      <c r="N6" s="18"/>
      <c r="O6" s="18"/>
      <c r="P6" s="18"/>
      <c r="Q6" s="18"/>
      <c r="R6" s="18"/>
      <c r="S6" s="18"/>
      <c r="T6" s="18"/>
      <c r="U6" s="18"/>
      <c r="V6" s="18"/>
      <c r="W6" s="18"/>
      <c r="X6" s="18"/>
      <c r="Y6" s="18"/>
      <c r="Z6" s="18"/>
      <c r="AA6" s="18"/>
      <c r="AB6" s="18"/>
      <c r="AC6" s="18"/>
      <c r="AD6" s="18"/>
      <c r="AE6" s="21"/>
      <c r="AF6" s="21"/>
      <c r="AG6" s="21"/>
      <c r="AH6" s="18"/>
      <c r="AI6" s="18"/>
      <c r="AJ6" s="18"/>
      <c r="AK6" s="18"/>
      <c r="AL6" s="18"/>
      <c r="AM6" s="18"/>
      <c r="AN6" s="18"/>
      <c r="AO6" s="18"/>
      <c r="AP6" s="18"/>
      <c r="AQ6" s="18"/>
      <c r="AR6" s="18"/>
      <c r="AS6" s="18"/>
      <c r="AT6" s="18"/>
    </row>
    <row r="7" spans="1:46" x14ac:dyDescent="0.35">
      <c r="A7" s="18"/>
      <c r="B7" s="18"/>
      <c r="C7" s="18"/>
      <c r="D7" s="18"/>
      <c r="E7" s="18"/>
      <c r="F7" s="18"/>
      <c r="G7" s="18"/>
      <c r="H7" s="18"/>
      <c r="I7" s="18"/>
      <c r="J7" s="18"/>
      <c r="K7" s="18"/>
      <c r="L7" s="18"/>
      <c r="M7" s="18"/>
      <c r="N7" s="18"/>
      <c r="O7" s="18"/>
      <c r="P7" s="18"/>
      <c r="Q7" s="18"/>
      <c r="R7" s="18"/>
      <c r="S7" s="18"/>
      <c r="T7" s="18"/>
      <c r="U7" s="18"/>
      <c r="V7" s="18"/>
      <c r="W7" s="18"/>
      <c r="X7" s="18"/>
      <c r="Y7" s="18"/>
      <c r="Z7" s="18"/>
      <c r="AA7" s="18"/>
      <c r="AB7" s="18"/>
      <c r="AC7" s="18"/>
      <c r="AD7" s="18"/>
      <c r="AE7" s="21"/>
      <c r="AF7" s="21"/>
      <c r="AG7" s="21"/>
      <c r="AH7" s="18"/>
      <c r="AI7" s="18"/>
      <c r="AJ7" s="18"/>
      <c r="AK7" s="18"/>
      <c r="AL7" s="18"/>
      <c r="AM7" s="18"/>
      <c r="AN7" s="18"/>
      <c r="AO7" s="18"/>
      <c r="AP7" s="18"/>
      <c r="AQ7" s="18"/>
      <c r="AR7" s="18"/>
      <c r="AS7" s="18"/>
      <c r="AT7" s="18"/>
    </row>
    <row r="8" spans="1:46" x14ac:dyDescent="0.35">
      <c r="A8" s="18"/>
      <c r="B8" s="18"/>
      <c r="C8" s="18"/>
      <c r="D8" s="18"/>
      <c r="E8" s="18"/>
      <c r="F8" s="18"/>
      <c r="G8" s="18"/>
      <c r="H8" s="18"/>
      <c r="I8" s="18"/>
      <c r="J8" s="18"/>
      <c r="K8" s="18"/>
      <c r="L8" s="18"/>
      <c r="M8" s="18"/>
      <c r="N8" s="18"/>
      <c r="O8" s="18"/>
      <c r="P8" s="18"/>
      <c r="Q8" s="18"/>
      <c r="R8" s="18"/>
      <c r="S8" s="18"/>
      <c r="T8" s="18"/>
      <c r="U8" s="18"/>
      <c r="V8" s="18"/>
      <c r="W8" s="18"/>
      <c r="X8" s="18"/>
      <c r="Y8" s="18"/>
      <c r="Z8" s="18"/>
      <c r="AA8" s="18"/>
      <c r="AB8" s="18"/>
      <c r="AC8" s="18"/>
      <c r="AD8" s="18"/>
      <c r="AE8" s="21"/>
      <c r="AF8" s="21"/>
      <c r="AG8" s="21"/>
      <c r="AH8" s="18"/>
      <c r="AI8" s="18"/>
      <c r="AJ8" s="18"/>
      <c r="AK8" s="18"/>
      <c r="AL8" s="18"/>
      <c r="AM8" s="18"/>
      <c r="AN8" s="18"/>
      <c r="AO8" s="18"/>
      <c r="AP8" s="18"/>
      <c r="AQ8" s="18"/>
      <c r="AR8" s="18"/>
      <c r="AS8" s="18"/>
      <c r="AT8" s="18"/>
    </row>
    <row r="9" spans="1:46" x14ac:dyDescent="0.35">
      <c r="A9" s="18"/>
      <c r="B9" s="18"/>
      <c r="C9" s="18"/>
      <c r="D9" s="18"/>
      <c r="E9" s="18"/>
      <c r="F9" s="18"/>
      <c r="G9" s="18"/>
      <c r="H9" s="18"/>
      <c r="I9" s="18"/>
      <c r="J9" s="18"/>
      <c r="K9" s="18"/>
      <c r="L9" s="18"/>
      <c r="M9" s="18"/>
      <c r="N9" s="18"/>
      <c r="O9" s="18"/>
      <c r="P9" s="18"/>
      <c r="Q9" s="18"/>
      <c r="R9" s="18"/>
      <c r="S9" s="18"/>
      <c r="T9" s="18"/>
      <c r="U9" s="18"/>
      <c r="V9" s="18"/>
      <c r="W9" s="18"/>
      <c r="X9" s="18"/>
      <c r="Y9" s="18"/>
      <c r="Z9" s="18"/>
      <c r="AA9" s="18"/>
      <c r="AB9" s="18"/>
      <c r="AC9" s="18"/>
      <c r="AD9" s="18"/>
      <c r="AE9" s="21"/>
      <c r="AF9" s="21"/>
      <c r="AG9" s="21"/>
      <c r="AH9" s="18"/>
      <c r="AI9" s="18"/>
      <c r="AJ9" s="18"/>
      <c r="AK9" s="18"/>
      <c r="AL9" s="18"/>
      <c r="AM9" s="18"/>
      <c r="AN9" s="18"/>
      <c r="AO9" s="18"/>
      <c r="AP9" s="18"/>
      <c r="AQ9" s="18"/>
      <c r="AR9" s="18"/>
      <c r="AS9" s="18"/>
      <c r="AT9" s="18"/>
    </row>
    <row r="10" spans="1:46" x14ac:dyDescent="0.35">
      <c r="A10" s="18"/>
      <c r="B10" s="18"/>
      <c r="C10" s="18"/>
      <c r="D10" s="18"/>
      <c r="E10" s="18"/>
      <c r="F10" s="18"/>
      <c r="G10" s="18"/>
      <c r="H10" s="18"/>
      <c r="I10" s="18"/>
      <c r="J10" s="18"/>
      <c r="K10" s="18"/>
      <c r="L10" s="18"/>
      <c r="M10" s="18"/>
      <c r="N10" s="18"/>
      <c r="O10" s="18"/>
      <c r="P10" s="18"/>
      <c r="Q10" s="18"/>
      <c r="R10" s="18"/>
      <c r="S10" s="18"/>
      <c r="T10" s="18"/>
      <c r="U10" s="18"/>
      <c r="V10" s="18"/>
      <c r="W10" s="18"/>
      <c r="X10" s="18"/>
      <c r="Y10" s="18"/>
      <c r="Z10" s="18"/>
      <c r="AA10" s="18"/>
      <c r="AB10" s="18"/>
      <c r="AC10" s="18"/>
      <c r="AD10" s="18"/>
      <c r="AE10" s="21"/>
      <c r="AF10" s="21"/>
      <c r="AG10" s="21"/>
      <c r="AH10" s="18"/>
      <c r="AI10" s="18"/>
      <c r="AJ10" s="18"/>
      <c r="AK10" s="18"/>
      <c r="AL10" s="18"/>
      <c r="AM10" s="18"/>
      <c r="AN10" s="18"/>
      <c r="AO10" s="18"/>
      <c r="AP10" s="18"/>
      <c r="AQ10" s="18"/>
      <c r="AR10" s="18"/>
      <c r="AS10" s="18"/>
      <c r="AT10" s="18"/>
    </row>
    <row r="11" spans="1:46" x14ac:dyDescent="0.35">
      <c r="A11" s="18"/>
      <c r="B11" s="18"/>
      <c r="C11" s="18"/>
      <c r="D11" s="18"/>
      <c r="E11" s="18"/>
      <c r="F11" s="18"/>
      <c r="G11" s="18"/>
      <c r="H11" s="18"/>
      <c r="I11" s="18"/>
      <c r="J11" s="18"/>
      <c r="K11" s="18"/>
      <c r="L11" s="18"/>
      <c r="M11" s="18"/>
      <c r="N11" s="18"/>
      <c r="O11" s="18"/>
      <c r="P11" s="18"/>
      <c r="Q11" s="18"/>
      <c r="R11" s="18"/>
      <c r="S11" s="18"/>
      <c r="T11" s="18"/>
      <c r="U11" s="18"/>
      <c r="V11" s="18"/>
      <c r="W11" s="18"/>
      <c r="X11" s="18"/>
      <c r="Y11" s="18"/>
      <c r="Z11" s="18"/>
      <c r="AA11" s="18"/>
      <c r="AB11" s="18"/>
      <c r="AC11" s="18"/>
      <c r="AD11" s="18"/>
      <c r="AE11" s="21"/>
      <c r="AF11" s="21"/>
      <c r="AG11" s="21"/>
      <c r="AH11" s="18"/>
      <c r="AI11" s="18"/>
      <c r="AJ11" s="18"/>
      <c r="AK11" s="18"/>
      <c r="AL11" s="18"/>
      <c r="AM11" s="18"/>
      <c r="AN11" s="18"/>
      <c r="AO11" s="18"/>
      <c r="AP11" s="18"/>
      <c r="AQ11" s="18"/>
      <c r="AR11" s="18"/>
      <c r="AS11" s="18"/>
      <c r="AT11" s="18"/>
    </row>
    <row r="12" spans="1:46" x14ac:dyDescent="0.35">
      <c r="A12" s="18"/>
      <c r="B12" s="18"/>
      <c r="C12" s="18"/>
      <c r="D12" s="18"/>
      <c r="E12" s="18"/>
      <c r="F12" s="18"/>
      <c r="G12" s="18"/>
      <c r="H12" s="18"/>
      <c r="I12" s="18"/>
      <c r="J12" s="18"/>
      <c r="K12" s="18"/>
      <c r="L12" s="18"/>
      <c r="M12" s="18"/>
      <c r="N12" s="18"/>
      <c r="O12" s="18"/>
      <c r="P12" s="18"/>
      <c r="Q12" s="18"/>
      <c r="R12" s="18"/>
      <c r="S12" s="18"/>
      <c r="T12" s="18"/>
      <c r="U12" s="18"/>
      <c r="V12" s="18"/>
      <c r="W12" s="18"/>
      <c r="X12" s="18"/>
      <c r="Y12" s="18"/>
      <c r="Z12" s="18"/>
      <c r="AA12" s="18"/>
      <c r="AB12" s="18"/>
      <c r="AC12" s="18"/>
      <c r="AD12" s="18"/>
      <c r="AE12" s="21"/>
      <c r="AF12" s="21"/>
      <c r="AG12" s="21"/>
      <c r="AH12" s="18"/>
      <c r="AI12" s="18"/>
      <c r="AJ12" s="18"/>
      <c r="AK12" s="18"/>
      <c r="AL12" s="18"/>
      <c r="AM12" s="18"/>
      <c r="AN12" s="18"/>
      <c r="AO12" s="18"/>
      <c r="AP12" s="18"/>
      <c r="AQ12" s="18"/>
      <c r="AR12" s="18"/>
      <c r="AS12" s="18"/>
      <c r="AT12" s="18"/>
    </row>
    <row r="13" spans="1:46" x14ac:dyDescent="0.35">
      <c r="A13" s="18"/>
      <c r="B13" s="18"/>
      <c r="C13" s="18"/>
      <c r="D13" s="18"/>
      <c r="E13" s="18"/>
      <c r="F13" s="18"/>
      <c r="G13" s="18"/>
      <c r="H13" s="18"/>
      <c r="I13" s="18"/>
      <c r="J13" s="18"/>
      <c r="K13" s="18"/>
      <c r="L13" s="18"/>
      <c r="M13" s="18"/>
      <c r="N13" s="18"/>
      <c r="O13" s="18"/>
      <c r="P13" s="18"/>
      <c r="Q13" s="18"/>
      <c r="R13" s="18"/>
      <c r="S13" s="18"/>
      <c r="T13" s="18"/>
      <c r="U13" s="18"/>
      <c r="V13" s="18"/>
      <c r="W13" s="18"/>
      <c r="X13" s="18"/>
      <c r="Y13" s="18"/>
      <c r="Z13" s="18"/>
      <c r="AA13" s="18"/>
      <c r="AB13" s="18"/>
      <c r="AC13" s="18"/>
      <c r="AD13" s="18"/>
      <c r="AE13" s="21"/>
      <c r="AF13" s="21"/>
      <c r="AG13" s="21"/>
      <c r="AH13" s="18"/>
      <c r="AI13" s="18"/>
      <c r="AJ13" s="18"/>
      <c r="AK13" s="18"/>
      <c r="AL13" s="18"/>
      <c r="AM13" s="18"/>
      <c r="AN13" s="18"/>
      <c r="AO13" s="18"/>
      <c r="AP13" s="18"/>
      <c r="AQ13" s="18"/>
      <c r="AR13" s="18"/>
      <c r="AS13" s="18"/>
      <c r="AT13" s="18"/>
    </row>
    <row r="14" spans="1:46" x14ac:dyDescent="0.35">
      <c r="A14" s="18"/>
      <c r="B14" s="18"/>
      <c r="C14" s="18"/>
      <c r="D14" s="18"/>
      <c r="E14" s="18"/>
      <c r="F14" s="18"/>
      <c r="G14" s="18"/>
      <c r="H14" s="18"/>
      <c r="I14" s="18"/>
      <c r="J14" s="18"/>
      <c r="K14" s="18"/>
      <c r="L14" s="18"/>
      <c r="M14" s="18"/>
      <c r="N14" s="18"/>
      <c r="O14" s="18"/>
      <c r="P14" s="18"/>
      <c r="Q14" s="18"/>
      <c r="R14" s="18"/>
      <c r="S14" s="18"/>
      <c r="T14" s="18"/>
      <c r="U14" s="18"/>
      <c r="V14" s="18"/>
      <c r="W14" s="18"/>
      <c r="X14" s="18"/>
      <c r="Y14" s="18"/>
      <c r="Z14" s="18"/>
      <c r="AA14" s="18"/>
      <c r="AB14" s="18"/>
      <c r="AC14" s="18"/>
      <c r="AD14" s="18"/>
      <c r="AE14" s="21"/>
      <c r="AF14" s="21"/>
      <c r="AG14" s="21"/>
      <c r="AH14" s="18"/>
      <c r="AI14" s="18"/>
      <c r="AJ14" s="18"/>
      <c r="AK14" s="18"/>
      <c r="AL14" s="18"/>
      <c r="AM14" s="18"/>
      <c r="AN14" s="18"/>
      <c r="AO14" s="18"/>
      <c r="AP14" s="18"/>
      <c r="AQ14" s="18"/>
      <c r="AR14" s="18"/>
      <c r="AS14" s="18"/>
      <c r="AT14" s="18"/>
    </row>
    <row r="15" spans="1:46" x14ac:dyDescent="0.35">
      <c r="A15" s="18"/>
      <c r="B15" s="18"/>
      <c r="C15" s="18"/>
      <c r="D15" s="18"/>
      <c r="E15" s="18"/>
      <c r="F15" s="18"/>
      <c r="G15" s="18"/>
      <c r="H15" s="18"/>
      <c r="I15" s="18"/>
      <c r="J15" s="18"/>
      <c r="K15" s="18"/>
      <c r="L15" s="18"/>
      <c r="M15" s="18"/>
      <c r="N15" s="18"/>
      <c r="O15" s="18"/>
      <c r="P15" s="18"/>
      <c r="Q15" s="18"/>
      <c r="R15" s="18"/>
      <c r="S15" s="18"/>
      <c r="T15" s="18"/>
      <c r="U15" s="18"/>
      <c r="V15" s="18"/>
      <c r="W15" s="18"/>
      <c r="X15" s="18"/>
      <c r="Y15" s="18"/>
      <c r="Z15" s="18"/>
      <c r="AA15" s="18"/>
      <c r="AB15" s="18"/>
      <c r="AC15" s="18"/>
      <c r="AD15" s="18"/>
      <c r="AE15" s="21"/>
      <c r="AF15" s="21"/>
      <c r="AG15" s="21"/>
      <c r="AH15" s="18"/>
      <c r="AI15" s="18"/>
      <c r="AJ15" s="18"/>
      <c r="AK15" s="18"/>
      <c r="AL15" s="18"/>
      <c r="AM15" s="18"/>
      <c r="AN15" s="18"/>
      <c r="AO15" s="18"/>
      <c r="AP15" s="18"/>
      <c r="AQ15" s="18"/>
      <c r="AR15" s="18"/>
      <c r="AS15" s="18"/>
      <c r="AT15" s="18"/>
    </row>
    <row r="16" spans="1:46" x14ac:dyDescent="0.35">
      <c r="A16" s="18"/>
      <c r="B16" s="18"/>
      <c r="C16" s="18"/>
      <c r="D16" s="18"/>
      <c r="E16" s="18"/>
      <c r="F16" s="18"/>
      <c r="G16" s="18"/>
      <c r="H16" s="18"/>
      <c r="I16" s="18"/>
      <c r="J16" s="18"/>
      <c r="K16" s="18"/>
      <c r="L16" s="18"/>
      <c r="M16" s="18"/>
      <c r="N16" s="18"/>
      <c r="O16" s="18"/>
      <c r="P16" s="18"/>
      <c r="Q16" s="18"/>
      <c r="R16" s="18"/>
      <c r="S16" s="18"/>
      <c r="T16" s="18"/>
      <c r="U16" s="18"/>
      <c r="V16" s="18"/>
      <c r="W16" s="18"/>
      <c r="X16" s="18"/>
      <c r="Y16" s="18"/>
      <c r="Z16" s="18"/>
      <c r="AA16" s="18"/>
      <c r="AB16" s="18"/>
      <c r="AC16" s="18"/>
      <c r="AD16" s="18"/>
      <c r="AE16" s="21"/>
      <c r="AF16" s="21"/>
      <c r="AG16" s="21"/>
      <c r="AH16" s="18"/>
      <c r="AI16" s="18"/>
      <c r="AJ16" s="18"/>
      <c r="AK16" s="18"/>
      <c r="AL16" s="18"/>
      <c r="AM16" s="18"/>
      <c r="AN16" s="18"/>
      <c r="AO16" s="18"/>
      <c r="AP16" s="18"/>
      <c r="AQ16" s="18"/>
      <c r="AR16" s="18"/>
      <c r="AS16" s="18"/>
      <c r="AT16" s="18"/>
    </row>
    <row r="17" spans="1:46" x14ac:dyDescent="0.35">
      <c r="A17" s="18"/>
      <c r="B17" s="18"/>
      <c r="C17" s="18"/>
      <c r="D17" s="18"/>
      <c r="E17" s="18"/>
      <c r="F17" s="18"/>
      <c r="G17" s="18"/>
      <c r="H17" s="18"/>
      <c r="I17" s="18"/>
      <c r="J17" s="18"/>
      <c r="K17" s="18"/>
      <c r="L17" s="18"/>
      <c r="M17" s="18"/>
      <c r="N17" s="18"/>
      <c r="O17" s="18"/>
      <c r="P17" s="18"/>
      <c r="Q17" s="18"/>
      <c r="R17" s="18"/>
      <c r="S17" s="18"/>
      <c r="T17" s="18"/>
      <c r="U17" s="18"/>
      <c r="V17" s="18"/>
      <c r="W17" s="18"/>
      <c r="X17" s="18"/>
      <c r="Y17" s="18"/>
      <c r="Z17" s="18"/>
      <c r="AA17" s="18"/>
      <c r="AB17" s="18"/>
      <c r="AC17" s="18"/>
      <c r="AD17" s="18"/>
      <c r="AE17" s="21"/>
      <c r="AF17" s="21"/>
      <c r="AG17" s="21"/>
      <c r="AH17" s="18"/>
      <c r="AI17" s="18"/>
      <c r="AJ17" s="18"/>
      <c r="AK17" s="18"/>
      <c r="AL17" s="18"/>
      <c r="AM17" s="18"/>
      <c r="AN17" s="18"/>
      <c r="AO17" s="18"/>
      <c r="AP17" s="18"/>
      <c r="AQ17" s="18"/>
      <c r="AR17" s="18"/>
      <c r="AS17" s="18"/>
      <c r="AT17" s="18"/>
    </row>
    <row r="18" spans="1:46" x14ac:dyDescent="0.35">
      <c r="A18" s="18"/>
      <c r="B18" s="18"/>
      <c r="C18" s="18"/>
      <c r="D18" s="18"/>
      <c r="E18" s="18"/>
      <c r="F18" s="18"/>
      <c r="G18" s="18"/>
      <c r="H18" s="18"/>
      <c r="I18" s="18"/>
      <c r="J18" s="18"/>
      <c r="K18" s="18"/>
      <c r="L18" s="18"/>
      <c r="M18" s="18"/>
      <c r="N18" s="18"/>
      <c r="O18" s="18"/>
      <c r="P18" s="18"/>
      <c r="Q18" s="18"/>
      <c r="R18" s="18"/>
      <c r="S18" s="18"/>
      <c r="T18" s="18"/>
      <c r="U18" s="18"/>
      <c r="V18" s="18"/>
      <c r="W18" s="18"/>
      <c r="X18" s="18"/>
      <c r="Y18" s="18"/>
      <c r="Z18" s="18"/>
      <c r="AA18" s="18"/>
      <c r="AB18" s="18"/>
      <c r="AC18" s="18"/>
      <c r="AD18" s="18"/>
      <c r="AE18" s="21"/>
      <c r="AF18" s="21"/>
      <c r="AG18" s="21"/>
      <c r="AH18" s="18"/>
      <c r="AI18" s="18"/>
      <c r="AJ18" s="18"/>
      <c r="AK18" s="18"/>
      <c r="AL18" s="18"/>
      <c r="AM18" s="18"/>
      <c r="AN18" s="18"/>
      <c r="AO18" s="18"/>
      <c r="AP18" s="18"/>
      <c r="AQ18" s="18"/>
      <c r="AR18" s="18"/>
      <c r="AS18" s="18"/>
      <c r="AT18" s="18"/>
    </row>
    <row r="19" spans="1:46" x14ac:dyDescent="0.35">
      <c r="A19" s="18"/>
      <c r="B19" s="18"/>
      <c r="C19" s="18"/>
      <c r="D19" s="18"/>
      <c r="E19" s="18"/>
      <c r="F19" s="18"/>
      <c r="G19" s="18"/>
      <c r="H19" s="18"/>
      <c r="I19" s="18"/>
      <c r="J19" s="18"/>
      <c r="K19" s="18"/>
      <c r="L19" s="18"/>
      <c r="M19" s="18"/>
      <c r="N19" s="18"/>
      <c r="O19" s="18"/>
      <c r="P19" s="18"/>
      <c r="Q19" s="18"/>
      <c r="R19" s="18"/>
      <c r="S19" s="18"/>
      <c r="T19" s="18"/>
      <c r="U19" s="18"/>
      <c r="V19" s="18"/>
      <c r="W19" s="18"/>
      <c r="X19" s="18"/>
      <c r="Y19" s="18"/>
      <c r="Z19" s="18"/>
      <c r="AA19" s="18"/>
      <c r="AB19" s="18"/>
      <c r="AC19" s="18"/>
      <c r="AD19" s="18"/>
      <c r="AE19" s="21"/>
      <c r="AF19" s="21"/>
      <c r="AG19" s="21"/>
      <c r="AH19" s="18"/>
      <c r="AI19" s="18"/>
      <c r="AJ19" s="18"/>
      <c r="AK19" s="18"/>
      <c r="AL19" s="18"/>
      <c r="AM19" s="18"/>
      <c r="AN19" s="18"/>
      <c r="AO19" s="18"/>
      <c r="AP19" s="18"/>
      <c r="AQ19" s="18"/>
      <c r="AR19" s="18"/>
      <c r="AS19" s="18"/>
      <c r="AT19" s="18"/>
    </row>
    <row r="20" spans="1:46" x14ac:dyDescent="0.35">
      <c r="A20" s="18"/>
      <c r="B20" s="18"/>
      <c r="C20" s="18"/>
      <c r="D20" s="18"/>
      <c r="E20" s="18"/>
      <c r="F20" s="18"/>
      <c r="G20" s="18"/>
      <c r="H20" s="18"/>
      <c r="I20" s="18"/>
      <c r="J20" s="18"/>
      <c r="K20" s="18"/>
      <c r="L20" s="18"/>
      <c r="M20" s="18"/>
      <c r="N20" s="18"/>
      <c r="O20" s="18"/>
      <c r="P20" s="18"/>
      <c r="Q20" s="18"/>
      <c r="R20" s="18"/>
      <c r="S20" s="18"/>
      <c r="T20" s="18"/>
      <c r="U20" s="18"/>
      <c r="V20" s="18"/>
      <c r="W20" s="18"/>
      <c r="X20" s="18"/>
      <c r="Y20" s="18"/>
      <c r="Z20" s="18"/>
      <c r="AA20" s="18"/>
      <c r="AB20" s="18"/>
      <c r="AC20" s="18"/>
      <c r="AD20" s="18"/>
      <c r="AE20" s="21"/>
      <c r="AF20" s="21"/>
      <c r="AG20" s="21"/>
      <c r="AH20" s="18"/>
      <c r="AI20" s="18"/>
      <c r="AJ20" s="18"/>
      <c r="AK20" s="18"/>
      <c r="AL20" s="18"/>
      <c r="AM20" s="18"/>
      <c r="AN20" s="18"/>
      <c r="AO20" s="18"/>
      <c r="AP20" s="18"/>
      <c r="AQ20" s="18"/>
      <c r="AR20" s="18"/>
      <c r="AS20" s="18"/>
      <c r="AT20" s="18"/>
    </row>
    <row r="21" spans="1:46" x14ac:dyDescent="0.35">
      <c r="A21" s="18"/>
      <c r="B21" s="18"/>
      <c r="C21" s="18"/>
      <c r="D21" s="18"/>
      <c r="E21" s="18"/>
      <c r="F21" s="18"/>
      <c r="G21" s="18"/>
      <c r="H21" s="18"/>
      <c r="I21" s="18"/>
      <c r="J21" s="18"/>
      <c r="K21" s="18"/>
      <c r="L21" s="18"/>
      <c r="M21" s="18"/>
      <c r="N21" s="18"/>
      <c r="O21" s="18"/>
      <c r="P21" s="18"/>
      <c r="Q21" s="18"/>
      <c r="R21" s="18"/>
      <c r="S21" s="18"/>
      <c r="T21" s="18"/>
      <c r="U21" s="18"/>
      <c r="V21" s="18"/>
      <c r="W21" s="18"/>
      <c r="X21" s="18"/>
      <c r="Y21" s="18"/>
      <c r="Z21" s="18"/>
      <c r="AA21" s="18"/>
      <c r="AB21" s="18"/>
      <c r="AC21" s="18"/>
      <c r="AD21" s="18"/>
      <c r="AE21" s="21"/>
      <c r="AF21" s="21"/>
      <c r="AG21" s="21"/>
      <c r="AH21" s="18"/>
      <c r="AI21" s="18"/>
      <c r="AJ21" s="18"/>
      <c r="AK21" s="18"/>
      <c r="AL21" s="18"/>
      <c r="AM21" s="18"/>
      <c r="AN21" s="18"/>
      <c r="AO21" s="18"/>
      <c r="AP21" s="18"/>
      <c r="AQ21" s="18"/>
      <c r="AR21" s="18"/>
      <c r="AS21" s="18"/>
      <c r="AT21" s="18"/>
    </row>
    <row r="22" spans="1:46" x14ac:dyDescent="0.35">
      <c r="A22" s="18"/>
      <c r="B22" s="18"/>
      <c r="C22" s="18"/>
      <c r="D22" s="18"/>
      <c r="E22" s="18"/>
      <c r="F22" s="18"/>
      <c r="G22" s="18"/>
      <c r="H22" s="18"/>
      <c r="I22" s="18"/>
      <c r="J22" s="18"/>
      <c r="K22" s="18"/>
      <c r="L22" s="18"/>
      <c r="M22" s="18"/>
      <c r="N22" s="18"/>
      <c r="O22" s="18"/>
      <c r="P22" s="18"/>
      <c r="Q22" s="18"/>
      <c r="R22" s="18"/>
      <c r="S22" s="18"/>
      <c r="T22" s="18"/>
      <c r="U22" s="18"/>
      <c r="V22" s="18"/>
      <c r="W22" s="18"/>
      <c r="X22" s="18"/>
      <c r="Y22" s="18"/>
      <c r="Z22" s="18"/>
      <c r="AA22" s="18"/>
      <c r="AB22" s="18"/>
      <c r="AC22" s="18"/>
      <c r="AD22" s="18"/>
      <c r="AE22" s="21"/>
      <c r="AF22" s="21"/>
      <c r="AG22" s="21"/>
      <c r="AH22" s="18"/>
      <c r="AI22" s="18"/>
      <c r="AJ22" s="18"/>
      <c r="AK22" s="18"/>
      <c r="AL22" s="18"/>
      <c r="AM22" s="18"/>
      <c r="AN22" s="18"/>
      <c r="AO22" s="18"/>
      <c r="AP22" s="18"/>
      <c r="AQ22" s="18"/>
      <c r="AR22" s="18"/>
      <c r="AS22" s="18"/>
      <c r="AT22" s="18"/>
    </row>
    <row r="23" spans="1:46" x14ac:dyDescent="0.35">
      <c r="A23" s="18"/>
      <c r="B23" s="18"/>
      <c r="C23" s="18"/>
      <c r="D23" s="18"/>
      <c r="E23" s="18"/>
      <c r="F23" s="18"/>
      <c r="G23" s="18"/>
      <c r="H23" s="18"/>
      <c r="I23" s="18"/>
      <c r="J23" s="18"/>
      <c r="K23" s="18"/>
      <c r="L23" s="18"/>
      <c r="M23" s="18"/>
      <c r="N23" s="18"/>
      <c r="O23" s="18"/>
      <c r="P23" s="18"/>
      <c r="Q23" s="18"/>
      <c r="R23" s="18"/>
      <c r="S23" s="18"/>
      <c r="T23" s="18"/>
      <c r="U23" s="18"/>
      <c r="V23" s="18"/>
      <c r="W23" s="18"/>
      <c r="X23" s="18"/>
      <c r="Y23" s="18"/>
      <c r="Z23" s="18"/>
      <c r="AA23" s="18"/>
      <c r="AB23" s="18"/>
      <c r="AC23" s="18"/>
      <c r="AD23" s="18"/>
      <c r="AE23" s="21"/>
      <c r="AF23" s="21"/>
      <c r="AG23" s="21"/>
      <c r="AH23" s="18"/>
      <c r="AI23" s="18"/>
      <c r="AJ23" s="18"/>
      <c r="AK23" s="18"/>
      <c r="AL23" s="18"/>
      <c r="AM23" s="18"/>
      <c r="AN23" s="18"/>
      <c r="AO23" s="18"/>
      <c r="AP23" s="18"/>
      <c r="AQ23" s="18"/>
      <c r="AR23" s="18"/>
      <c r="AS23" s="18"/>
      <c r="AT23" s="18"/>
    </row>
    <row r="24" spans="1:46" x14ac:dyDescent="0.35">
      <c r="A24" s="18"/>
      <c r="B24" s="18"/>
      <c r="C24" s="18"/>
      <c r="D24" s="18"/>
      <c r="E24" s="18"/>
      <c r="F24" s="18"/>
      <c r="G24" s="18"/>
      <c r="H24" s="18"/>
      <c r="I24" s="18"/>
      <c r="J24" s="18"/>
      <c r="K24" s="18"/>
      <c r="L24" s="18"/>
      <c r="M24" s="18"/>
      <c r="N24" s="18"/>
      <c r="O24" s="18"/>
      <c r="P24" s="18"/>
      <c r="Q24" s="18"/>
      <c r="R24" s="18"/>
      <c r="S24" s="18"/>
      <c r="T24" s="18"/>
      <c r="U24" s="18"/>
      <c r="V24" s="18"/>
      <c r="W24" s="18"/>
      <c r="X24" s="18"/>
      <c r="Y24" s="18"/>
      <c r="Z24" s="18"/>
      <c r="AA24" s="18"/>
      <c r="AB24" s="18"/>
      <c r="AC24" s="18"/>
      <c r="AD24" s="18"/>
      <c r="AE24" s="21"/>
      <c r="AF24" s="21"/>
      <c r="AG24" s="21"/>
      <c r="AH24" s="18"/>
      <c r="AI24" s="18"/>
      <c r="AJ24" s="18"/>
      <c r="AK24" s="18"/>
      <c r="AL24" s="18"/>
      <c r="AM24" s="18"/>
      <c r="AN24" s="18"/>
      <c r="AO24" s="18"/>
      <c r="AP24" s="18"/>
      <c r="AQ24" s="18"/>
      <c r="AR24" s="18"/>
      <c r="AS24" s="18"/>
      <c r="AT24" s="18"/>
    </row>
    <row r="25" spans="1:46" x14ac:dyDescent="0.35">
      <c r="A25" s="18"/>
      <c r="B25" s="18"/>
      <c r="C25" s="18"/>
      <c r="D25" s="18"/>
      <c r="E25" s="18"/>
      <c r="F25" s="18"/>
      <c r="G25" s="18"/>
      <c r="H25" s="18"/>
      <c r="I25" s="18"/>
      <c r="J25" s="18"/>
      <c r="K25" s="18"/>
      <c r="L25" s="18"/>
      <c r="M25" s="18"/>
      <c r="N25" s="18"/>
      <c r="O25" s="18"/>
      <c r="P25" s="18"/>
      <c r="Q25" s="18"/>
      <c r="R25" s="18"/>
      <c r="S25" s="18"/>
      <c r="T25" s="18"/>
      <c r="U25" s="18"/>
      <c r="V25" s="18"/>
      <c r="W25" s="18"/>
      <c r="X25" s="18"/>
      <c r="Y25" s="18"/>
      <c r="Z25" s="18"/>
      <c r="AA25" s="18"/>
      <c r="AB25" s="18"/>
      <c r="AC25" s="18"/>
      <c r="AD25" s="18"/>
      <c r="AE25" s="21"/>
      <c r="AF25" s="21"/>
      <c r="AG25" s="21"/>
      <c r="AH25" s="18"/>
      <c r="AI25" s="18"/>
      <c r="AJ25" s="18"/>
      <c r="AK25" s="18"/>
      <c r="AL25" s="18"/>
      <c r="AM25" s="18"/>
      <c r="AN25" s="18"/>
      <c r="AO25" s="18"/>
      <c r="AP25" s="18"/>
      <c r="AQ25" s="18"/>
      <c r="AR25" s="18"/>
      <c r="AS25" s="18"/>
      <c r="AT25" s="18"/>
    </row>
    <row r="26" spans="1:46" x14ac:dyDescent="0.35">
      <c r="A26" s="18"/>
      <c r="B26" s="18"/>
      <c r="C26" s="18"/>
      <c r="D26" s="18"/>
      <c r="E26" s="18"/>
      <c r="F26" s="18"/>
      <c r="G26" s="18"/>
      <c r="H26" s="18"/>
      <c r="I26" s="18"/>
      <c r="J26" s="18"/>
      <c r="K26" s="18"/>
      <c r="L26" s="18"/>
      <c r="M26" s="18"/>
      <c r="N26" s="18"/>
      <c r="O26" s="18"/>
      <c r="P26" s="18"/>
      <c r="Q26" s="18"/>
      <c r="R26" s="18"/>
      <c r="S26" s="18"/>
      <c r="T26" s="18"/>
      <c r="U26" s="18"/>
      <c r="V26" s="18"/>
      <c r="W26" s="18"/>
      <c r="X26" s="18"/>
      <c r="Y26" s="18"/>
      <c r="Z26" s="18"/>
      <c r="AA26" s="18"/>
      <c r="AB26" s="18"/>
      <c r="AC26" s="18"/>
      <c r="AD26" s="18"/>
      <c r="AE26" s="21"/>
      <c r="AF26" s="21"/>
      <c r="AG26" s="21"/>
      <c r="AH26" s="18"/>
      <c r="AI26" s="18"/>
      <c r="AJ26" s="18"/>
      <c r="AK26" s="18"/>
      <c r="AL26" s="18"/>
      <c r="AM26" s="18"/>
      <c r="AN26" s="18"/>
      <c r="AO26" s="18"/>
      <c r="AP26" s="18"/>
      <c r="AQ26" s="18"/>
      <c r="AR26" s="18"/>
      <c r="AS26" s="18"/>
      <c r="AT26" s="18"/>
    </row>
    <row r="27" spans="1:46" x14ac:dyDescent="0.35">
      <c r="A27" s="18"/>
      <c r="B27" s="18"/>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c r="AC27" s="18"/>
      <c r="AD27" s="18"/>
      <c r="AE27" s="21"/>
      <c r="AF27" s="21"/>
      <c r="AG27" s="21"/>
      <c r="AH27" s="18"/>
      <c r="AI27" s="18"/>
      <c r="AJ27" s="18"/>
      <c r="AK27" s="18"/>
      <c r="AL27" s="18"/>
      <c r="AM27" s="18"/>
      <c r="AN27" s="18"/>
      <c r="AO27" s="18"/>
      <c r="AP27" s="18"/>
      <c r="AQ27" s="18"/>
      <c r="AR27" s="18"/>
      <c r="AS27" s="18"/>
      <c r="AT27" s="18"/>
    </row>
    <row r="28" spans="1:46" x14ac:dyDescent="0.35">
      <c r="A28" s="18"/>
      <c r="B28" s="18"/>
      <c r="C28" s="18"/>
      <c r="D28" s="18"/>
      <c r="E28" s="18"/>
      <c r="F28" s="18"/>
      <c r="G28" s="18"/>
      <c r="H28" s="18"/>
      <c r="I28" s="18"/>
      <c r="J28" s="18"/>
      <c r="K28" s="18"/>
      <c r="L28" s="18"/>
      <c r="M28" s="18"/>
      <c r="N28" s="18"/>
      <c r="O28" s="18"/>
      <c r="P28" s="18"/>
      <c r="Q28" s="18"/>
      <c r="R28" s="18"/>
      <c r="S28" s="18"/>
      <c r="T28" s="18"/>
      <c r="U28" s="18"/>
      <c r="V28" s="18"/>
      <c r="W28" s="18"/>
      <c r="X28" s="18"/>
      <c r="Y28" s="18"/>
      <c r="Z28" s="18"/>
      <c r="AA28" s="18"/>
      <c r="AB28" s="18"/>
      <c r="AC28" s="18"/>
      <c r="AD28" s="18"/>
      <c r="AE28" s="21"/>
      <c r="AF28" s="21"/>
      <c r="AG28" s="21"/>
      <c r="AH28" s="18"/>
      <c r="AI28" s="18"/>
      <c r="AJ28" s="18"/>
      <c r="AK28" s="18"/>
      <c r="AL28" s="18"/>
      <c r="AM28" s="18"/>
      <c r="AN28" s="18"/>
      <c r="AO28" s="18"/>
      <c r="AP28" s="18"/>
      <c r="AQ28" s="18"/>
      <c r="AR28" s="18"/>
      <c r="AS28" s="18"/>
      <c r="AT28" s="18"/>
    </row>
    <row r="29" spans="1:46" x14ac:dyDescent="0.35">
      <c r="A29" s="18"/>
      <c r="B29" s="18"/>
      <c r="C29" s="18"/>
      <c r="D29" s="18"/>
      <c r="E29" s="18"/>
      <c r="F29" s="18"/>
      <c r="G29" s="18"/>
      <c r="H29" s="18"/>
      <c r="I29" s="18"/>
      <c r="J29" s="18"/>
      <c r="K29" s="18"/>
      <c r="L29" s="18"/>
      <c r="M29" s="18"/>
      <c r="N29" s="18"/>
      <c r="O29" s="18"/>
      <c r="P29" s="18"/>
      <c r="Q29" s="18"/>
      <c r="R29" s="18"/>
      <c r="S29" s="18"/>
      <c r="T29" s="18"/>
      <c r="U29" s="18"/>
      <c r="V29" s="18"/>
      <c r="W29" s="18"/>
      <c r="X29" s="18"/>
      <c r="Y29" s="18"/>
      <c r="Z29" s="18"/>
      <c r="AA29" s="18"/>
      <c r="AB29" s="18"/>
      <c r="AC29" s="18"/>
      <c r="AD29" s="18"/>
      <c r="AE29" s="21"/>
      <c r="AF29" s="21"/>
      <c r="AG29" s="21"/>
      <c r="AH29" s="18"/>
      <c r="AI29" s="18"/>
      <c r="AJ29" s="18"/>
      <c r="AK29" s="18"/>
      <c r="AL29" s="18"/>
      <c r="AM29" s="18"/>
      <c r="AN29" s="18"/>
      <c r="AO29" s="18"/>
      <c r="AP29" s="18"/>
      <c r="AQ29" s="18"/>
      <c r="AR29" s="18"/>
      <c r="AS29" s="18"/>
      <c r="AT29" s="18"/>
    </row>
    <row r="30" spans="1:46" x14ac:dyDescent="0.35">
      <c r="A30" s="18"/>
      <c r="B30" s="1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c r="AD30" s="18"/>
      <c r="AE30" s="21"/>
      <c r="AF30" s="21"/>
      <c r="AG30" s="21"/>
      <c r="AH30" s="18"/>
      <c r="AI30" s="18"/>
      <c r="AJ30" s="18"/>
      <c r="AK30" s="18"/>
      <c r="AL30" s="18"/>
      <c r="AM30" s="18"/>
      <c r="AN30" s="18"/>
      <c r="AO30" s="18"/>
      <c r="AP30" s="18"/>
      <c r="AQ30" s="18"/>
      <c r="AR30" s="18"/>
      <c r="AS30" s="18"/>
      <c r="AT30" s="18"/>
    </row>
    <row r="31" spans="1:46" x14ac:dyDescent="0.35">
      <c r="A31" s="18"/>
      <c r="B31" s="1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c r="AD31" s="18"/>
      <c r="AE31" s="21"/>
      <c r="AF31" s="21"/>
      <c r="AG31" s="21"/>
      <c r="AH31" s="18"/>
      <c r="AI31" s="18"/>
      <c r="AJ31" s="18"/>
      <c r="AK31" s="18"/>
      <c r="AL31" s="18"/>
      <c r="AM31" s="18"/>
      <c r="AN31" s="18"/>
      <c r="AO31" s="18"/>
      <c r="AP31" s="18"/>
      <c r="AQ31" s="18"/>
      <c r="AR31" s="18"/>
      <c r="AS31" s="18"/>
      <c r="AT31" s="18"/>
    </row>
    <row r="32" spans="1:46" x14ac:dyDescent="0.35">
      <c r="A32" s="18"/>
      <c r="B32" s="18"/>
      <c r="C32" s="18"/>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c r="AD32" s="18"/>
      <c r="AE32" s="21"/>
      <c r="AF32" s="21"/>
      <c r="AG32" s="21"/>
      <c r="AH32" s="18"/>
      <c r="AI32" s="18"/>
      <c r="AJ32" s="18"/>
      <c r="AK32" s="18"/>
      <c r="AL32" s="18"/>
      <c r="AM32" s="18"/>
      <c r="AN32" s="18"/>
      <c r="AO32" s="18"/>
      <c r="AP32" s="18"/>
      <c r="AQ32" s="18"/>
      <c r="AR32" s="18"/>
      <c r="AS32" s="18"/>
      <c r="AT32" s="18"/>
    </row>
    <row r="33" spans="1:46" x14ac:dyDescent="0.35">
      <c r="A33" s="18"/>
      <c r="B33" s="18"/>
      <c r="C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c r="AD33" s="18"/>
      <c r="AE33" s="21"/>
      <c r="AF33" s="21"/>
      <c r="AG33" s="21"/>
      <c r="AH33" s="18"/>
      <c r="AI33" s="18"/>
      <c r="AJ33" s="18"/>
      <c r="AK33" s="18"/>
      <c r="AL33" s="18"/>
      <c r="AM33" s="18"/>
      <c r="AN33" s="18"/>
      <c r="AO33" s="18"/>
      <c r="AP33" s="18"/>
      <c r="AQ33" s="18"/>
      <c r="AR33" s="18"/>
      <c r="AS33" s="18"/>
      <c r="AT33" s="18"/>
    </row>
    <row r="34" spans="1:46" x14ac:dyDescent="0.35">
      <c r="A34" s="18"/>
      <c r="B34" s="18"/>
      <c r="C34" s="18"/>
      <c r="D34" s="18"/>
      <c r="E34" s="18"/>
      <c r="F34" s="18"/>
      <c r="G34" s="18"/>
      <c r="H34" s="18"/>
      <c r="I34" s="18"/>
      <c r="J34" s="18"/>
      <c r="K34" s="18"/>
      <c r="L34" s="18"/>
      <c r="M34" s="18"/>
      <c r="N34" s="18"/>
      <c r="O34" s="18"/>
      <c r="P34" s="18"/>
      <c r="Q34" s="18"/>
      <c r="R34" s="18"/>
      <c r="S34" s="18"/>
      <c r="T34" s="18"/>
      <c r="U34" s="18"/>
      <c r="V34" s="18"/>
      <c r="W34" s="18"/>
      <c r="X34" s="18"/>
      <c r="Y34" s="18"/>
      <c r="Z34" s="18"/>
      <c r="AA34" s="18"/>
      <c r="AB34" s="18"/>
      <c r="AC34" s="18"/>
      <c r="AD34" s="18"/>
      <c r="AE34" s="21"/>
      <c r="AF34" s="21"/>
      <c r="AG34" s="21"/>
      <c r="AH34" s="18"/>
      <c r="AI34" s="18"/>
      <c r="AJ34" s="18"/>
      <c r="AK34" s="18"/>
      <c r="AL34" s="18"/>
      <c r="AM34" s="18"/>
      <c r="AN34" s="18"/>
      <c r="AO34" s="18"/>
      <c r="AP34" s="18"/>
      <c r="AQ34" s="18"/>
      <c r="AR34" s="18"/>
      <c r="AS34" s="18"/>
      <c r="AT34" s="18"/>
    </row>
    <row r="35" spans="1:46" x14ac:dyDescent="0.35">
      <c r="A35" s="18"/>
      <c r="B35" s="18"/>
      <c r="C35" s="18"/>
      <c r="D35" s="18"/>
      <c r="E35" s="18"/>
      <c r="F35" s="18"/>
      <c r="G35" s="18"/>
      <c r="H35" s="18"/>
      <c r="I35" s="18"/>
      <c r="J35" s="18"/>
      <c r="K35" s="18"/>
      <c r="L35" s="18"/>
      <c r="M35" s="18"/>
      <c r="N35" s="18"/>
      <c r="O35" s="18"/>
      <c r="P35" s="18"/>
      <c r="Q35" s="18"/>
      <c r="R35" s="18"/>
      <c r="S35" s="18"/>
      <c r="T35" s="18"/>
      <c r="U35" s="18"/>
      <c r="V35" s="18"/>
      <c r="W35" s="18"/>
      <c r="X35" s="18"/>
      <c r="Y35" s="18"/>
      <c r="Z35" s="18"/>
      <c r="AA35" s="18"/>
      <c r="AB35" s="18"/>
      <c r="AC35" s="18"/>
      <c r="AD35" s="18"/>
      <c r="AE35" s="21"/>
      <c r="AF35" s="21"/>
      <c r="AG35" s="21"/>
      <c r="AH35" s="18"/>
      <c r="AI35" s="18"/>
      <c r="AJ35" s="18"/>
      <c r="AK35" s="18"/>
      <c r="AL35" s="18"/>
      <c r="AM35" s="18"/>
      <c r="AN35" s="18"/>
      <c r="AO35" s="18"/>
      <c r="AP35" s="18"/>
      <c r="AQ35" s="18"/>
      <c r="AR35" s="18"/>
      <c r="AS35" s="18"/>
      <c r="AT35" s="18"/>
    </row>
    <row r="36" spans="1:46" x14ac:dyDescent="0.35">
      <c r="A36" s="18"/>
      <c r="B36" s="18"/>
      <c r="C36" s="18"/>
      <c r="D36" s="18"/>
      <c r="E36" s="18"/>
      <c r="F36" s="18"/>
      <c r="G36" s="18"/>
      <c r="H36" s="18"/>
      <c r="I36" s="18"/>
      <c r="J36" s="18"/>
      <c r="K36" s="18"/>
      <c r="L36" s="18"/>
      <c r="M36" s="18"/>
      <c r="N36" s="18"/>
      <c r="O36" s="18"/>
      <c r="P36" s="18"/>
      <c r="Q36" s="18"/>
      <c r="R36" s="18"/>
      <c r="S36" s="18"/>
      <c r="T36" s="18"/>
      <c r="U36" s="18"/>
      <c r="V36" s="18"/>
      <c r="W36" s="18"/>
      <c r="X36" s="18"/>
      <c r="Y36" s="18"/>
      <c r="Z36" s="18"/>
      <c r="AA36" s="18"/>
      <c r="AB36" s="18"/>
      <c r="AC36" s="18"/>
      <c r="AD36" s="18"/>
      <c r="AE36" s="21"/>
      <c r="AF36" s="21"/>
      <c r="AG36" s="21"/>
      <c r="AH36" s="18"/>
      <c r="AI36" s="18"/>
      <c r="AJ36" s="18"/>
      <c r="AK36" s="18"/>
      <c r="AL36" s="18"/>
      <c r="AM36" s="18"/>
      <c r="AN36" s="18"/>
      <c r="AO36" s="18"/>
      <c r="AP36" s="18"/>
      <c r="AQ36" s="18"/>
      <c r="AR36" s="18"/>
      <c r="AS36" s="18"/>
      <c r="AT36" s="18"/>
    </row>
    <row r="37" spans="1:46" x14ac:dyDescent="0.35">
      <c r="A37" s="18"/>
      <c r="B37" s="18"/>
      <c r="C37" s="18"/>
      <c r="D37" s="18"/>
      <c r="E37" s="18"/>
      <c r="F37" s="18"/>
      <c r="G37" s="18"/>
      <c r="H37" s="18"/>
      <c r="I37" s="18"/>
      <c r="J37" s="18"/>
      <c r="K37" s="18"/>
      <c r="L37" s="18"/>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row>
    <row r="38" spans="1:46" x14ac:dyDescent="0.35">
      <c r="A38" s="18"/>
      <c r="B38" s="18"/>
      <c r="C38" s="18"/>
      <c r="D38" s="18"/>
      <c r="E38" s="18"/>
      <c r="F38" s="18"/>
      <c r="G38" s="18"/>
      <c r="H38" s="18"/>
      <c r="I38" s="18"/>
      <c r="J38" s="18"/>
      <c r="K38" s="18"/>
      <c r="L38" s="18"/>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row>
    <row r="39" spans="1:46" x14ac:dyDescent="0.35">
      <c r="A39" s="18"/>
      <c r="B39" s="18"/>
      <c r="C39" s="18"/>
      <c r="D39" s="18"/>
      <c r="E39" s="18"/>
      <c r="F39" s="18"/>
      <c r="G39" s="18"/>
      <c r="H39" s="18"/>
      <c r="I39" s="18"/>
      <c r="J39" s="18"/>
      <c r="K39" s="18"/>
      <c r="L39" s="18"/>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row>
    <row r="40" spans="1:46" x14ac:dyDescent="0.35">
      <c r="A40" s="18"/>
      <c r="B40" s="18"/>
      <c r="C40" s="18"/>
      <c r="D40" s="18"/>
      <c r="E40" s="18"/>
      <c r="F40" s="18"/>
      <c r="G40" s="18"/>
      <c r="H40" s="18"/>
      <c r="I40" s="18"/>
      <c r="J40" s="18"/>
      <c r="K40" s="18"/>
      <c r="L40" s="18"/>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row>
    <row r="41" spans="1:46" x14ac:dyDescent="0.35">
      <c r="A41" s="18"/>
      <c r="B41" s="18"/>
      <c r="C41" s="18"/>
      <c r="D41" s="18"/>
      <c r="E41" s="18"/>
      <c r="F41" s="18"/>
      <c r="G41" s="18"/>
      <c r="H41" s="18"/>
      <c r="I41" s="18"/>
      <c r="J41" s="18"/>
      <c r="K41" s="18"/>
      <c r="L41" s="18"/>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row>
    <row r="42" spans="1:46" x14ac:dyDescent="0.35">
      <c r="A42" s="18"/>
      <c r="B42" s="18"/>
      <c r="C42" s="18"/>
      <c r="D42" s="18"/>
      <c r="E42" s="18"/>
      <c r="F42" s="18"/>
      <c r="G42" s="18"/>
      <c r="H42" s="18"/>
      <c r="I42" s="18"/>
      <c r="J42" s="18"/>
      <c r="K42" s="18"/>
      <c r="L42" s="18"/>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row>
    <row r="43" spans="1:46" x14ac:dyDescent="0.35">
      <c r="A43" s="18"/>
      <c r="B43" s="18"/>
      <c r="C43" s="18"/>
      <c r="D43" s="18"/>
      <c r="E43" s="18"/>
      <c r="F43" s="18"/>
      <c r="G43" s="18"/>
      <c r="H43" s="18"/>
      <c r="I43" s="18"/>
      <c r="J43" s="18"/>
      <c r="K43" s="18"/>
      <c r="L43" s="18"/>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row>
    <row r="44" spans="1:46" x14ac:dyDescent="0.35">
      <c r="A44" s="18"/>
      <c r="B44" s="18"/>
      <c r="C44" s="18"/>
      <c r="D44" s="18"/>
      <c r="E44" s="18"/>
      <c r="F44" s="18"/>
      <c r="G44" s="18"/>
      <c r="H44" s="18"/>
      <c r="I44" s="18"/>
      <c r="J44" s="18"/>
      <c r="K44" s="18"/>
      <c r="L44" s="18"/>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row>
    <row r="45" spans="1:46" x14ac:dyDescent="0.35">
      <c r="A45" s="18"/>
      <c r="B45" s="18"/>
      <c r="C45" s="18"/>
      <c r="D45" s="18"/>
      <c r="E45" s="18"/>
      <c r="F45" s="18"/>
      <c r="G45" s="18"/>
      <c r="H45" s="18"/>
      <c r="I45" s="18"/>
      <c r="J45" s="18"/>
      <c r="K45" s="18"/>
      <c r="L45" s="18"/>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row>
    <row r="46" spans="1:46" x14ac:dyDescent="0.35">
      <c r="A46" s="18"/>
      <c r="B46" s="18"/>
      <c r="C46" s="18"/>
      <c r="D46" s="18"/>
      <c r="E46" s="18"/>
      <c r="F46" s="18"/>
      <c r="G46" s="18"/>
      <c r="H46" s="18"/>
      <c r="I46" s="18"/>
      <c r="J46" s="18"/>
      <c r="K46" s="18"/>
      <c r="L46" s="18"/>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row>
  </sheetData>
  <pageMargins left="0.25" right="0.25"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04ec5a1a-e29c-407e-9660-cb4eaaff03a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6A9E49C56486844AEA3493470A3BA7F" ma:contentTypeVersion="18" ma:contentTypeDescription="Create a new document." ma:contentTypeScope="" ma:versionID="e113dd8c6d9d6d8e50c33cd355eeb814">
  <xsd:schema xmlns:xsd="http://www.w3.org/2001/XMLSchema" xmlns:xs="http://www.w3.org/2001/XMLSchema" xmlns:p="http://schemas.microsoft.com/office/2006/metadata/properties" xmlns:ns3="04ec5a1a-e29c-407e-9660-cb4eaaff03ab" xmlns:ns4="98587d8b-32ff-4694-8d3a-6f66eb643b0d" targetNamespace="http://schemas.microsoft.com/office/2006/metadata/properties" ma:root="true" ma:fieldsID="654ccc4b072c8ba42f6f064ab7b3a12b" ns3:_="" ns4:_="">
    <xsd:import namespace="04ec5a1a-e29c-407e-9660-cb4eaaff03ab"/>
    <xsd:import namespace="98587d8b-32ff-4694-8d3a-6f66eb643b0d"/>
    <xsd:element name="properties">
      <xsd:complexType>
        <xsd:sequence>
          <xsd:element name="documentManagement">
            <xsd:complexType>
              <xsd:all>
                <xsd:element ref="ns3:MediaServiceMetadata" minOccurs="0"/>
                <xsd:element ref="ns3:MediaServiceFastMetadata" minOccurs="0"/>
                <xsd:element ref="ns3:MediaServiceDateTaken" minOccurs="0"/>
                <xsd:element ref="ns3:MediaServiceAutoTags" minOccurs="0"/>
                <xsd:element ref="ns3:MediaServiceGenerationTime" minOccurs="0"/>
                <xsd:element ref="ns3:MediaServiceEventHashCode" minOccurs="0"/>
                <xsd:element ref="ns3:MediaServiceOCR" minOccurs="0"/>
                <xsd:element ref="ns4:SharedWithUsers" minOccurs="0"/>
                <xsd:element ref="ns4:SharedWithDetails" minOccurs="0"/>
                <xsd:element ref="ns4:SharingHintHash" minOccurs="0"/>
                <xsd:element ref="ns3:MediaServiceAutoKeyPoints" minOccurs="0"/>
                <xsd:element ref="ns3:MediaServiceKeyPoints" minOccurs="0"/>
                <xsd:element ref="ns3:MediaLengthInSeconds" minOccurs="0"/>
                <xsd:element ref="ns3:MediaServiceSearchProperties" minOccurs="0"/>
                <xsd:element ref="ns3:MediaServiceLocation" minOccurs="0"/>
                <xsd:element ref="ns3:_activity" minOccurs="0"/>
                <xsd:element ref="ns3:MediaServiceObjectDetectorVersions" minOccurs="0"/>
                <xsd:element ref="ns3: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4ec5a1a-e29c-407e-9660-cb4eaaff03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indexed="true" ma:internalName="MediaServiceLocation" ma:readOnly="true">
      <xsd:simpleType>
        <xsd:restriction base="dms:Text"/>
      </xsd:simpleType>
    </xsd:element>
    <xsd:element name="_activity" ma:index="23" nillable="true" ma:displayName="_activity" ma:hidden="true" ma:internalName="_activity">
      <xsd:simpleType>
        <xsd:restriction base="dms:Note"/>
      </xsd:simple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ystemTags" ma:index="25"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8587d8b-32ff-4694-8d3a-6f66eb643b0d" elementFormDefault="qualified">
    <xsd:import namespace="http://schemas.microsoft.com/office/2006/documentManagement/types"/>
    <xsd:import namespace="http://schemas.microsoft.com/office/infopath/2007/PartnerControls"/>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element name="SharingHintHash" ma:index="17"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8C00B319-165B-4AE8-A6AE-EED707A1FDFE}">
  <ds:schemaRefs>
    <ds:schemaRef ds:uri="04ec5a1a-e29c-407e-9660-cb4eaaff03ab"/>
    <ds:schemaRef ds:uri="http://purl.org/dc/terms/"/>
    <ds:schemaRef ds:uri="http://purl.org/dc/dcmitype/"/>
    <ds:schemaRef ds:uri="http://schemas.microsoft.com/office/2006/documentManagement/types"/>
    <ds:schemaRef ds:uri="http://schemas.microsoft.com/office/2006/metadata/properties"/>
    <ds:schemaRef ds:uri="98587d8b-32ff-4694-8d3a-6f66eb643b0d"/>
    <ds:schemaRef ds:uri="http://purl.org/dc/elements/1.1/"/>
    <ds:schemaRef ds:uri="http://www.w3.org/XML/1998/namespace"/>
    <ds:schemaRef ds:uri="http://schemas.microsoft.com/office/infopath/2007/PartnerControls"/>
    <ds:schemaRef ds:uri="http://schemas.openxmlformats.org/package/2006/metadata/core-properties"/>
  </ds:schemaRefs>
</ds:datastoreItem>
</file>

<file path=customXml/itemProps2.xml><?xml version="1.0" encoding="utf-8"?>
<ds:datastoreItem xmlns:ds="http://schemas.openxmlformats.org/officeDocument/2006/customXml" ds:itemID="{76F14EA0-1B09-4BA6-A1E0-FED8521C2BE1}">
  <ds:schemaRefs>
    <ds:schemaRef ds:uri="http://schemas.microsoft.com/sharepoint/v3/contenttype/forms"/>
  </ds:schemaRefs>
</ds:datastoreItem>
</file>

<file path=customXml/itemProps3.xml><?xml version="1.0" encoding="utf-8"?>
<ds:datastoreItem xmlns:ds="http://schemas.openxmlformats.org/officeDocument/2006/customXml" ds:itemID="{8184B4C1-4F0A-455C-A4C4-43B4C034F92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4ec5a1a-e29c-407e-9660-cb4eaaff03ab"/>
    <ds:schemaRef ds:uri="98587d8b-32ff-4694-8d3a-6f66eb643b0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A567E798-6F0B-454D-A6AE-5B0397C0B0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Raw</vt:lpstr>
      <vt:lpstr>Cleaned_Data</vt:lpstr>
      <vt:lpstr>Pivot Table</vt:lpstr>
      <vt:lpstr>Dashboard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Mynda Treacy</dc:creator>
  <cp:keywords/>
  <dc:description/>
  <cp:lastModifiedBy>SLIMteSLIM</cp:lastModifiedBy>
  <cp:revision/>
  <dcterms:created xsi:type="dcterms:W3CDTF">2019-12-23T04:48:23Z</dcterms:created>
  <dcterms:modified xsi:type="dcterms:W3CDTF">2025-11-29T22:39:55Z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0x01010076A9E49C56486844AEA3493470A3BA7F</vt:lpwstr>
  </property>
</Properties>
</file>